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原物料库存清单" sheetId="1" state="visible" r:id="rId1"/>
    <sheet name="成品库存清单" sheetId="2" state="visible" r:id="rId2"/>
  </sheets>
  <definedNames>
    <definedName name="_xlnm._FilterDatabase" localSheetId="0" hidden="1">'原物料库存清单'!$A$1:$V$79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sz val="11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1"/>
      <scheme val="minor"/>
    </font>
    <font>
      <name val="微软雅黑"/>
      <charset val="134"/>
      <family val="2"/>
      <color theme="1"/>
      <sz val="11"/>
    </font>
    <font>
      <name val="微软雅黑"/>
      <charset val="134"/>
      <family val="2"/>
      <color rgb="FFFF0000"/>
      <sz val="11"/>
    </font>
    <font>
      <name val="等线"/>
      <charset val="134"/>
      <family val="3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5" fillId="0" borderId="1" applyAlignment="1" pivotButton="0" quotePrefix="0" xfId="1">
      <alignment horizontal="center"/>
    </xf>
    <xf numFmtId="0" fontId="5" fillId="0" borderId="1" applyAlignment="1" pivotButton="0" quotePrefix="0" xfId="1">
      <alignment horizontal="center" vertical="center"/>
    </xf>
    <xf numFmtId="0" fontId="5" fillId="0" borderId="1" pivotButton="0" quotePrefix="0" xfId="1"/>
    <xf numFmtId="58" fontId="5" fillId="0" borderId="1" pivotButton="0" quotePrefix="0" xfId="1"/>
    <xf numFmtId="58" fontId="5" fillId="0" borderId="1" applyAlignment="1" pivotButton="0" quotePrefix="0" xfId="1">
      <alignment horizontal="center"/>
    </xf>
    <xf numFmtId="14" fontId="5" fillId="0" borderId="1" pivotButton="0" quotePrefix="0" xfId="1"/>
    <xf numFmtId="14" fontId="5" fillId="0" borderId="1" applyAlignment="1" pivotButton="0" quotePrefix="0" xfId="1">
      <alignment horizontal="center"/>
    </xf>
    <xf numFmtId="0" fontId="6" fillId="0" borderId="1" applyAlignment="1" pivotButton="0" quotePrefix="0" xfId="1">
      <alignment horizontal="center"/>
    </xf>
    <xf numFmtId="0" fontId="0" fillId="0" borderId="1" pivotButton="0" quotePrefix="0" xfId="0"/>
    <xf numFmtId="0" fontId="7" fillId="0" borderId="1" applyAlignment="1" pivotButton="0" quotePrefix="0" xfId="0">
      <alignment horizont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"/>
  <sheetViews>
    <sheetView tabSelected="1" zoomScale="85" zoomScaleNormal="85" workbookViewId="0">
      <pane ySplit="1" topLeftCell="A47" activePane="bottomLeft" state="frozen"/>
      <selection pane="bottomLeft" activeCell="E74" sqref="A74:XFD74"/>
    </sheetView>
  </sheetViews>
  <sheetFormatPr baseColWidth="8" defaultRowHeight="13.9"/>
  <cols>
    <col width="9.06640625" customWidth="1" style="1" min="1" max="1"/>
    <col width="12.46484375" customWidth="1" style="1" min="2" max="2"/>
    <col width="8.59765625" customWidth="1" style="1" min="3" max="3"/>
    <col width="28.3984375" bestFit="1" customWidth="1" style="1" min="4" max="4"/>
    <col width="26.3984375" bestFit="1" customWidth="1" style="1" min="5" max="5"/>
    <col width="12.46484375" customWidth="1" style="1" min="6" max="6"/>
    <col width="9.06640625" customWidth="1" style="1" min="7" max="7"/>
    <col width="10.9296875" customWidth="1" style="1" min="8" max="8"/>
    <col width="11.86328125" customWidth="1" style="1" min="9" max="9"/>
    <col width="19.6640625" bestFit="1" customWidth="1" style="1" min="10" max="10"/>
    <col width="8.86328125" customWidth="1" style="1" min="11" max="11"/>
    <col width="10.9296875" bestFit="1" customWidth="1" style="1" min="12" max="12"/>
    <col width="12.06640625" customWidth="1" style="1" min="13" max="13"/>
    <col width="13.73046875" customWidth="1" style="1" min="14" max="14"/>
    <col width="13.46484375" customWidth="1" style="1" min="15" max="15"/>
    <col width="11.86328125" customWidth="1" style="1" min="16" max="16"/>
    <col width="14.1328125" customWidth="1" style="1" min="17" max="17"/>
    <col width="13.53125" customWidth="1" style="1" min="18" max="18"/>
    <col width="12.59765625" customWidth="1" style="1" min="19" max="19"/>
    <col width="14.6640625" customWidth="1" style="1" min="20" max="20"/>
    <col width="13.86328125" customWidth="1" style="1" min="21" max="21"/>
    <col width="12.3984375" customWidth="1" style="1" min="22" max="22"/>
    <col width="9.06640625" customWidth="1" style="1" min="23" max="16384"/>
  </cols>
  <sheetData>
    <row r="1">
      <c r="A1" s="2" t="inlineStr">
        <is>
          <t>请购人</t>
        </is>
      </c>
      <c r="B1" s="2" t="inlineStr">
        <is>
          <t>请购类别</t>
        </is>
      </c>
      <c r="C1" s="2" t="inlineStr">
        <is>
          <t>项目</t>
        </is>
      </c>
      <c r="D1" s="2" t="inlineStr">
        <is>
          <t>物料名称</t>
        </is>
      </c>
      <c r="E1" s="2" t="inlineStr">
        <is>
          <t>规格型号</t>
        </is>
      </c>
      <c r="F1" s="2" t="inlineStr">
        <is>
          <t>需求数量</t>
        </is>
      </c>
      <c r="G1" s="2" t="inlineStr">
        <is>
          <t>单位</t>
        </is>
      </c>
      <c r="H1" s="2" t="inlineStr">
        <is>
          <t>供应商</t>
        </is>
      </c>
      <c r="I1" s="6" t="inlineStr">
        <is>
          <t>库存数量</t>
        </is>
      </c>
      <c r="J1" s="2" t="inlineStr">
        <is>
          <t>备注</t>
        </is>
      </c>
      <c r="K1" s="2" t="inlineStr">
        <is>
          <t>区位</t>
        </is>
      </c>
      <c r="L1" s="2" t="inlineStr">
        <is>
          <t>入库日期</t>
        </is>
      </c>
      <c r="M1" s="4" t="inlineStr">
        <is>
          <t>入库数量</t>
        </is>
      </c>
      <c r="N1" s="4" t="inlineStr">
        <is>
          <t>出库数量1</t>
        </is>
      </c>
      <c r="O1" s="4" t="inlineStr">
        <is>
          <t>出库时间1</t>
        </is>
      </c>
      <c r="P1" s="4" t="inlineStr">
        <is>
          <t>领用人1</t>
        </is>
      </c>
      <c r="Q1" s="4" t="inlineStr">
        <is>
          <t>出库数量2</t>
        </is>
      </c>
      <c r="R1" s="4" t="inlineStr">
        <is>
          <t>出库时间2</t>
        </is>
      </c>
      <c r="S1" s="4" t="inlineStr">
        <is>
          <t>领用人2</t>
        </is>
      </c>
      <c r="T1" s="4" t="inlineStr">
        <is>
          <t>出库数量3</t>
        </is>
      </c>
      <c r="U1" s="4" t="inlineStr">
        <is>
          <t>出库时间3</t>
        </is>
      </c>
      <c r="V1" s="4" t="inlineStr">
        <is>
          <t>领用人3</t>
        </is>
      </c>
    </row>
    <row r="2">
      <c r="A2" s="2" t="n"/>
      <c r="B2" s="2" t="n"/>
      <c r="C2" s="2" t="n"/>
      <c r="D2" s="2" t="inlineStr">
        <is>
          <t>防静电自封袋</t>
        </is>
      </c>
      <c r="E2" s="2" t="inlineStr">
        <is>
          <t>双面15C / 6cm*9cm*6m</t>
        </is>
      </c>
      <c r="F2" s="2" t="n"/>
      <c r="G2" s="2" t="inlineStr">
        <is>
          <t>个</t>
        </is>
      </c>
      <c r="H2" s="3" t="n"/>
      <c r="I2" s="6" t="n">
        <v>400</v>
      </c>
      <c r="J2" s="2" t="n"/>
      <c r="K2" s="18" t="inlineStr">
        <is>
          <t>C3</t>
        </is>
      </c>
      <c r="L2" s="3" t="inlineStr">
        <is>
          <t>2026年之前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n"/>
      <c r="B3" s="2" t="n"/>
      <c r="C3" s="2" t="n"/>
      <c r="D3" s="2" t="inlineStr">
        <is>
          <t>防静电自封袋</t>
        </is>
      </c>
      <c r="E3" s="2" t="inlineStr">
        <is>
          <t>双面15C / 26cm*35cm*26.5m</t>
        </is>
      </c>
      <c r="F3" s="2" t="n"/>
      <c r="G3" s="2" t="inlineStr">
        <is>
          <t>个</t>
        </is>
      </c>
      <c r="H3" s="3" t="n"/>
      <c r="I3" s="6">
        <f>M3-N3</f>
        <v/>
      </c>
      <c r="J3" s="2" t="n"/>
      <c r="K3" s="18" t="inlineStr">
        <is>
          <t>C3</t>
        </is>
      </c>
      <c r="L3" s="3" t="inlineStr">
        <is>
          <t>2026年之前</t>
        </is>
      </c>
      <c r="M3" s="2" t="n">
        <v>179</v>
      </c>
      <c r="N3" s="2" t="n">
        <v>5</v>
      </c>
      <c r="O3" s="3" t="n">
        <v>46156</v>
      </c>
      <c r="P3" s="2" t="inlineStr">
        <is>
          <t>曹冲</t>
        </is>
      </c>
      <c r="Q3" s="2" t="n"/>
      <c r="R3" s="2" t="n"/>
      <c r="S3" s="2" t="n"/>
      <c r="T3" s="2" t="n"/>
      <c r="U3" s="2" t="n"/>
      <c r="V3" s="2" t="n"/>
    </row>
    <row r="4">
      <c r="A4" s="2" t="n"/>
      <c r="B4" s="2" t="n"/>
      <c r="C4" s="2" t="n"/>
      <c r="D4" s="2" t="inlineStr">
        <is>
          <t>防静电自封袋(特大号）</t>
        </is>
      </c>
      <c r="E4" s="2" t="inlineStr">
        <is>
          <t>双面15C / 60m</t>
        </is>
      </c>
      <c r="F4" s="2" t="n"/>
      <c r="G4" s="2" t="inlineStr">
        <is>
          <t>个</t>
        </is>
      </c>
      <c r="H4" s="3" t="n"/>
      <c r="I4" s="6" t="n">
        <v>13</v>
      </c>
      <c r="J4" s="2" t="n"/>
      <c r="K4" s="18" t="inlineStr">
        <is>
          <t>C3</t>
        </is>
      </c>
      <c r="L4" s="3" t="inlineStr">
        <is>
          <t>2026年之前</t>
        </is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n"/>
      <c r="B5" s="2" t="n"/>
      <c r="C5" s="2" t="n"/>
      <c r="D5" s="2" t="inlineStr">
        <is>
          <t>防静电自封袋（中号）</t>
        </is>
      </c>
      <c r="E5" s="2" t="inlineStr">
        <is>
          <t>双面15C / 12m</t>
        </is>
      </c>
      <c r="F5" s="2" t="n"/>
      <c r="G5" s="2" t="inlineStr">
        <is>
          <t>个</t>
        </is>
      </c>
      <c r="H5" s="3" t="n"/>
      <c r="I5" s="6" t="n">
        <v>91</v>
      </c>
      <c r="J5" s="2" t="n"/>
      <c r="K5" s="18" t="inlineStr">
        <is>
          <t>C3</t>
        </is>
      </c>
      <c r="L5" s="3" t="inlineStr">
        <is>
          <t>2026年之前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n"/>
      <c r="B6" s="2" t="n"/>
      <c r="C6" s="2" t="n"/>
      <c r="D6" s="2" t="inlineStr">
        <is>
          <t>粉红色自封袋（大号）</t>
        </is>
      </c>
      <c r="E6" s="2" t="inlineStr">
        <is>
          <t>20m</t>
        </is>
      </c>
      <c r="F6" s="2" t="n"/>
      <c r="G6" s="2" t="inlineStr">
        <is>
          <t>个</t>
        </is>
      </c>
      <c r="H6" s="3" t="n"/>
      <c r="I6" s="6" t="n">
        <v>138</v>
      </c>
      <c r="J6" s="2" t="n"/>
      <c r="K6" s="18" t="inlineStr">
        <is>
          <t>C3</t>
        </is>
      </c>
      <c r="L6" s="3" t="inlineStr">
        <is>
          <t>2026年之前</t>
        </is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n"/>
      <c r="B7" s="2" t="n"/>
      <c r="C7" s="2" t="n"/>
      <c r="D7" s="2" t="inlineStr">
        <is>
          <t>粉红色自封袋（中号）</t>
        </is>
      </c>
      <c r="E7" s="2" t="inlineStr">
        <is>
          <t>12m</t>
        </is>
      </c>
      <c r="F7" s="2" t="n"/>
      <c r="G7" s="2" t="inlineStr">
        <is>
          <t>个</t>
        </is>
      </c>
      <c r="H7" s="3" t="n"/>
      <c r="I7" s="6" t="n">
        <v>23</v>
      </c>
      <c r="J7" s="2" t="n"/>
      <c r="K7" s="18" t="inlineStr">
        <is>
          <t>C3</t>
        </is>
      </c>
      <c r="L7" s="3" t="inlineStr">
        <is>
          <t>2026年之前</t>
        </is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inlineStr">
        <is>
          <t>粉红色自封袋（小号）</t>
        </is>
      </c>
      <c r="E8" s="2" t="inlineStr">
        <is>
          <t>7,5m</t>
        </is>
      </c>
      <c r="F8" s="2" t="n"/>
      <c r="G8" s="2" t="inlineStr">
        <is>
          <t>包</t>
        </is>
      </c>
      <c r="H8" s="3" t="n"/>
      <c r="I8" s="6" t="n">
        <v>2</v>
      </c>
      <c r="J8" s="2" t="n"/>
      <c r="K8" s="18" t="inlineStr">
        <is>
          <t>C3</t>
        </is>
      </c>
      <c r="L8" s="3" t="inlineStr">
        <is>
          <t>2026年之前</t>
        </is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inlineStr">
        <is>
          <t>斑马双面胶</t>
        </is>
      </c>
      <c r="E9" s="2" t="inlineStr">
        <is>
          <t>5m</t>
        </is>
      </c>
      <c r="F9" s="2" t="n"/>
      <c r="G9" s="2" t="inlineStr">
        <is>
          <t>卷</t>
        </is>
      </c>
      <c r="H9" s="3" t="n"/>
      <c r="I9" s="6" t="n">
        <v>3</v>
      </c>
      <c r="J9" s="2" t="n"/>
      <c r="K9" s="18" t="inlineStr">
        <is>
          <t>C4</t>
        </is>
      </c>
      <c r="L9" s="3" t="inlineStr">
        <is>
          <t>2026年之前</t>
        </is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inlineStr">
        <is>
          <t>纯黄双面胶</t>
        </is>
      </c>
      <c r="E10" s="2" t="inlineStr">
        <is>
          <t>5m</t>
        </is>
      </c>
      <c r="F10" s="2" t="n"/>
      <c r="G10" s="2" t="inlineStr">
        <is>
          <t>卷</t>
        </is>
      </c>
      <c r="H10" s="3" t="n"/>
      <c r="I10" s="6" t="n">
        <v>6</v>
      </c>
      <c r="J10" s="2" t="n"/>
      <c r="K10" s="18" t="inlineStr">
        <is>
          <t>C4</t>
        </is>
      </c>
      <c r="L10" s="3" t="inlineStr">
        <is>
          <t>2026年之前</t>
        </is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n"/>
      <c r="B11" s="2" t="n"/>
      <c r="C11" s="2" t="n"/>
      <c r="D11" s="2" t="inlineStr">
        <is>
          <t>擦拭布无尘纸</t>
        </is>
      </c>
      <c r="E11" s="2" t="inlineStr">
        <is>
          <t>12.5m*38cm</t>
        </is>
      </c>
      <c r="F11" s="2" t="n"/>
      <c r="G11" s="2" t="inlineStr">
        <is>
          <t>卷</t>
        </is>
      </c>
      <c r="H11" s="3" t="n"/>
      <c r="I11" s="6" t="n">
        <v>3</v>
      </c>
      <c r="J11" s="2" t="n"/>
      <c r="K11" s="18" t="inlineStr">
        <is>
          <t>C2</t>
        </is>
      </c>
      <c r="L11" s="3" t="inlineStr">
        <is>
          <t>2026年之前</t>
        </is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n"/>
      <c r="B12" s="2" t="n"/>
      <c r="C12" s="2" t="n"/>
      <c r="D12" s="2" t="inlineStr">
        <is>
          <t>无水乙醇</t>
        </is>
      </c>
      <c r="E12" s="2" t="inlineStr">
        <is>
          <t>CR-004 / 5L/桶</t>
        </is>
      </c>
      <c r="F12" s="2" t="n"/>
      <c r="G12" s="2" t="inlineStr">
        <is>
          <t>桶</t>
        </is>
      </c>
      <c r="H12" s="3" t="n"/>
      <c r="I12" s="6" t="n">
        <v>3</v>
      </c>
      <c r="J12" s="2" t="n"/>
      <c r="K12" s="18" t="inlineStr">
        <is>
          <t>C4</t>
        </is>
      </c>
      <c r="L12" s="3" t="inlineStr">
        <is>
          <t>2026年之前</t>
        </is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n"/>
      <c r="B13" s="2" t="n"/>
      <c r="C13" s="2" t="n"/>
      <c r="D13" s="2" t="inlineStr">
        <is>
          <t>黑色螺旋罐</t>
        </is>
      </c>
      <c r="E13" s="2" t="inlineStr">
        <is>
          <t>500ml</t>
        </is>
      </c>
      <c r="F13" s="2" t="n"/>
      <c r="G13" s="2" t="inlineStr">
        <is>
          <t>个</t>
        </is>
      </c>
      <c r="H13" s="3" t="n"/>
      <c r="I13" s="6" t="n">
        <v>0</v>
      </c>
      <c r="J13" s="2" t="n"/>
      <c r="K13" s="18" t="n"/>
      <c r="L13" s="3" t="inlineStr">
        <is>
          <t>2026年之前</t>
        </is>
      </c>
      <c r="M13" s="2" t="n"/>
      <c r="N13" s="2" t="n">
        <v>11</v>
      </c>
      <c r="O13" s="3" t="n">
        <v>46150</v>
      </c>
      <c r="P13" s="2" t="inlineStr">
        <is>
          <t>徐水力</t>
        </is>
      </c>
      <c r="Q13" s="2" t="n"/>
      <c r="R13" s="2" t="n"/>
      <c r="S13" s="2" t="n"/>
      <c r="T13" s="2" t="n"/>
      <c r="U13" s="2" t="n"/>
      <c r="V13" s="2" t="n"/>
    </row>
    <row r="14">
      <c r="A14" s="2" t="n"/>
      <c r="B14" s="2" t="n"/>
      <c r="C14" s="2" t="n"/>
      <c r="D14" s="2" t="inlineStr">
        <is>
          <t>黑色螺旋罐</t>
        </is>
      </c>
      <c r="E14" s="2" t="inlineStr">
        <is>
          <t>300ml</t>
        </is>
      </c>
      <c r="F14" s="2" t="n"/>
      <c r="G14" s="2" t="inlineStr">
        <is>
          <t>个</t>
        </is>
      </c>
      <c r="H14" s="3" t="n"/>
      <c r="I14" s="6" t="n">
        <v>0</v>
      </c>
      <c r="J14" s="2" t="n"/>
      <c r="K14" s="18" t="n"/>
      <c r="L14" s="3" t="inlineStr">
        <is>
          <t>2026年之前</t>
        </is>
      </c>
      <c r="M14" s="2" t="n"/>
      <c r="N14" s="2" t="n">
        <v>29</v>
      </c>
      <c r="O14" s="3" t="n">
        <v>46150</v>
      </c>
      <c r="P14" s="2" t="inlineStr">
        <is>
          <t>徐水力</t>
        </is>
      </c>
      <c r="Q14" s="2" t="n"/>
      <c r="R14" s="2" t="n"/>
      <c r="S14" s="2" t="n"/>
      <c r="T14" s="2" t="n"/>
      <c r="U14" s="2" t="n"/>
      <c r="V14" s="2" t="n"/>
    </row>
    <row r="15">
      <c r="A15" s="2" t="n"/>
      <c r="B15" s="2" t="n"/>
      <c r="C15" s="2" t="n"/>
      <c r="D15" s="2" t="inlineStr">
        <is>
          <t>黑色螺旋罐</t>
        </is>
      </c>
      <c r="E15" s="2" t="inlineStr">
        <is>
          <t>150ml</t>
        </is>
      </c>
      <c r="F15" s="2" t="n"/>
      <c r="G15" s="2" t="inlineStr">
        <is>
          <t>个</t>
        </is>
      </c>
      <c r="H15" s="3" t="n"/>
      <c r="I15" s="6" t="n">
        <v>18</v>
      </c>
      <c r="J15" s="2" t="n"/>
      <c r="K15" s="18" t="inlineStr">
        <is>
          <t>C4</t>
        </is>
      </c>
      <c r="L15" s="3" t="inlineStr">
        <is>
          <t>2026年之前</t>
        </is>
      </c>
      <c r="M15" s="2" t="n"/>
      <c r="N15" s="2" t="n">
        <v>15</v>
      </c>
      <c r="O15" s="3" t="n">
        <v>46150</v>
      </c>
      <c r="P15" s="2" t="inlineStr">
        <is>
          <t>徐水力</t>
        </is>
      </c>
      <c r="Q15" s="2" t="n"/>
      <c r="R15" s="2" t="n"/>
      <c r="S15" s="2" t="n"/>
      <c r="T15" s="2" t="n"/>
      <c r="U15" s="2" t="n"/>
      <c r="V15" s="2" t="n"/>
    </row>
    <row r="16">
      <c r="A16" s="2" t="n"/>
      <c r="B16" s="2" t="n"/>
      <c r="C16" s="2" t="n"/>
      <c r="D16" s="2" t="inlineStr">
        <is>
          <t>鞋垫布</t>
        </is>
      </c>
      <c r="E16" s="2" t="inlineStr">
        <is>
          <t>26m</t>
        </is>
      </c>
      <c r="F16" s="2" t="n"/>
      <c r="G16" s="2" t="inlineStr">
        <is>
          <t>卷</t>
        </is>
      </c>
      <c r="H16" s="3" t="n"/>
      <c r="I16" s="6" t="n">
        <v>5</v>
      </c>
      <c r="J16" s="2" t="n"/>
      <c r="K16" s="18" t="inlineStr">
        <is>
          <t>C4</t>
        </is>
      </c>
      <c r="L16" s="3" t="inlineStr">
        <is>
          <t>2026年之前</t>
        </is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2" t="n"/>
      <c r="B17" s="2" t="n"/>
      <c r="C17" s="2" t="n"/>
      <c r="D17" s="2" t="inlineStr">
        <is>
          <t>FPC排线</t>
        </is>
      </c>
      <c r="E17" s="2" t="inlineStr">
        <is>
          <t>HRH-602-S4-FPC-V1.0 / 58m（金手指异常）</t>
        </is>
      </c>
      <c r="F17" s="2" t="n"/>
      <c r="G17" s="2" t="inlineStr">
        <is>
          <t>片</t>
        </is>
      </c>
      <c r="H17" s="2" t="inlineStr">
        <is>
          <t>中山东迪</t>
        </is>
      </c>
      <c r="I17" s="7" t="n">
        <v>9</v>
      </c>
      <c r="J17" s="2" t="n"/>
      <c r="K17" s="8" t="inlineStr">
        <is>
          <t>不良品区</t>
        </is>
      </c>
      <c r="L17" s="2" t="inlineStr">
        <is>
          <t>26.4.28</t>
        </is>
      </c>
      <c r="M17" s="2" t="n">
        <v>11</v>
      </c>
      <c r="N17" s="8" t="n">
        <v>2</v>
      </c>
      <c r="O17" s="3" t="n">
        <v>46139</v>
      </c>
      <c r="P17" s="2" t="inlineStr">
        <is>
          <t>朱红丽</t>
        </is>
      </c>
      <c r="Q17" s="2" t="n"/>
      <c r="R17" s="2" t="n"/>
      <c r="S17" s="2" t="n"/>
      <c r="T17" s="2" t="n"/>
      <c r="U17" s="2" t="n"/>
      <c r="V17" s="2" t="n"/>
    </row>
    <row r="18">
      <c r="A18" s="2" t="n"/>
      <c r="B18" s="2" t="n"/>
      <c r="C18" s="2" t="n"/>
      <c r="D18" s="2" t="inlineStr">
        <is>
          <t>纸箱</t>
        </is>
      </c>
      <c r="E18" s="2" t="n"/>
      <c r="F18" s="2" t="n"/>
      <c r="G18" s="2" t="inlineStr">
        <is>
          <t>个</t>
        </is>
      </c>
      <c r="H18" s="2" t="n"/>
      <c r="I18" s="6" t="n">
        <v>495</v>
      </c>
      <c r="J18" s="2" t="n"/>
      <c r="K18" s="18" t="inlineStr">
        <is>
          <t>包材区</t>
        </is>
      </c>
      <c r="L18" s="2" t="inlineStr">
        <is>
          <t>26.4.28</t>
        </is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n"/>
      <c r="B19" s="2" t="n"/>
      <c r="C19" s="2" t="n"/>
      <c r="D19" s="2" t="inlineStr">
        <is>
          <t>3m海绵减震垫EVA泡棉单面</t>
        </is>
      </c>
      <c r="E19" s="2" t="inlineStr">
        <is>
          <t>25mm宽*5米长</t>
        </is>
      </c>
      <c r="F19" s="2" t="n"/>
      <c r="G19" s="2" t="inlineStr">
        <is>
          <t>个</t>
        </is>
      </c>
      <c r="H19" s="2" t="inlineStr">
        <is>
          <t>朱红丽网购</t>
        </is>
      </c>
      <c r="I19" s="6">
        <f>M19-N19</f>
        <v/>
      </c>
      <c r="J19" s="2" t="n"/>
      <c r="K19" s="18" t="inlineStr">
        <is>
          <t>C2</t>
        </is>
      </c>
      <c r="L19" s="2" t="inlineStr">
        <is>
          <t>26.4.30</t>
        </is>
      </c>
      <c r="M19" s="2" t="n">
        <v>4</v>
      </c>
      <c r="N19" s="2" t="n">
        <v>1</v>
      </c>
      <c r="O19" s="3" t="n">
        <v>46155</v>
      </c>
      <c r="P19" s="2" t="inlineStr">
        <is>
          <t>朱红丽</t>
        </is>
      </c>
      <c r="Q19" s="2" t="n"/>
      <c r="R19" s="2" t="n"/>
      <c r="S19" s="2" t="n"/>
      <c r="T19" s="2" t="n"/>
      <c r="U19" s="2" t="n"/>
      <c r="V19" s="2" t="n"/>
    </row>
    <row r="20">
      <c r="A20" s="2" t="n"/>
      <c r="B20" s="2" t="n"/>
      <c r="C20" s="2" t="n"/>
      <c r="D20" s="2" t="inlineStr">
        <is>
          <t>3m海绵减震垫EVA泡棉单面</t>
        </is>
      </c>
      <c r="E20" s="2" t="inlineStr">
        <is>
          <t>50mm宽*5米长</t>
        </is>
      </c>
      <c r="F20" s="2" t="n"/>
      <c r="G20" s="2" t="inlineStr">
        <is>
          <t>个</t>
        </is>
      </c>
      <c r="H20" s="2" t="inlineStr">
        <is>
          <t>朱红丽网购</t>
        </is>
      </c>
      <c r="I20" s="6" t="n">
        <v>1</v>
      </c>
      <c r="J20" s="2" t="n"/>
      <c r="K20" s="18" t="inlineStr">
        <is>
          <t>C2</t>
        </is>
      </c>
      <c r="L20" s="2" t="inlineStr">
        <is>
          <t>26.4.30</t>
        </is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n"/>
      <c r="B21" s="2" t="n"/>
      <c r="C21" s="2" t="n"/>
      <c r="D21" s="2" t="inlineStr">
        <is>
          <t>ZY-26001</t>
        </is>
      </c>
      <c r="E21" s="2" t="inlineStr">
        <is>
          <t>BSO / 1KG/桶</t>
        </is>
      </c>
      <c r="F21" s="2" t="n"/>
      <c r="G21" s="2" t="inlineStr">
        <is>
          <t>桶</t>
        </is>
      </c>
      <c r="H21" s="3" t="n"/>
      <c r="I21" s="6" t="n">
        <v>5</v>
      </c>
      <c r="J21" s="2" t="n"/>
      <c r="K21" s="2" t="inlineStr">
        <is>
          <t>A4</t>
        </is>
      </c>
      <c r="L21" s="3" t="inlineStr">
        <is>
          <t>2026年之前</t>
        </is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n"/>
      <c r="B22" s="2" t="n"/>
      <c r="C22" s="2" t="n"/>
      <c r="D22" s="2" t="inlineStr">
        <is>
          <t>ZY-26001</t>
        </is>
      </c>
      <c r="E22" s="2" t="inlineStr">
        <is>
          <t>BSO / 5kg/桶</t>
        </is>
      </c>
      <c r="F22" s="2" t="n"/>
      <c r="G22" s="2" t="inlineStr">
        <is>
          <t>桶</t>
        </is>
      </c>
      <c r="H22" s="3" t="n"/>
      <c r="I22" s="6" t="n">
        <v>3</v>
      </c>
      <c r="J22" s="2" t="n"/>
      <c r="K22" s="2" t="inlineStr">
        <is>
          <t>A4</t>
        </is>
      </c>
      <c r="L22" s="3" t="inlineStr">
        <is>
          <t>2026年之前</t>
        </is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n"/>
      <c r="B23" s="2" t="n"/>
      <c r="C23" s="2" t="n"/>
      <c r="D23" s="2" t="inlineStr">
        <is>
          <t>ZY-26002</t>
        </is>
      </c>
      <c r="E23" s="2" t="inlineStr">
        <is>
          <t>920 / 1.5kg/包</t>
        </is>
      </c>
      <c r="F23" s="2" t="n"/>
      <c r="G23" s="2" t="inlineStr">
        <is>
          <t>包</t>
        </is>
      </c>
      <c r="H23" s="3" t="n"/>
      <c r="I23" s="6" t="n">
        <v>3</v>
      </c>
      <c r="J23" s="2" t="n"/>
      <c r="K23" s="2" t="inlineStr">
        <is>
          <t>A4</t>
        </is>
      </c>
      <c r="L23" s="3" t="inlineStr">
        <is>
          <t>2026年之前</t>
        </is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n"/>
      <c r="B24" s="2" t="n"/>
      <c r="C24" s="2" t="n"/>
      <c r="D24" s="2" t="inlineStr">
        <is>
          <t>PI膜</t>
        </is>
      </c>
      <c r="E24" s="2" t="inlineStr">
        <is>
          <t>NL01 / 520mm*510m*125um</t>
        </is>
      </c>
      <c r="F24" s="2" t="n"/>
      <c r="G24" s="2" t="inlineStr">
        <is>
          <t>卷</t>
        </is>
      </c>
      <c r="H24" s="3" t="inlineStr">
        <is>
          <t>无锡顺铉</t>
        </is>
      </c>
      <c r="I24" s="6" t="n">
        <v>1</v>
      </c>
      <c r="J24" s="2" t="n"/>
      <c r="K24" s="2" t="inlineStr">
        <is>
          <t>A4</t>
        </is>
      </c>
      <c r="L24" s="3" t="inlineStr">
        <is>
          <t>2026年之前</t>
        </is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n"/>
      <c r="B25" s="2" t="n"/>
      <c r="C25" s="2" t="n"/>
      <c r="D25" s="2" t="inlineStr">
        <is>
          <t>PI膜</t>
        </is>
      </c>
      <c r="E25" s="2" t="inlineStr">
        <is>
          <t>910mm*32m*125um</t>
        </is>
      </c>
      <c r="F25" s="2" t="n"/>
      <c r="G25" s="2" t="inlineStr">
        <is>
          <t>卷</t>
        </is>
      </c>
      <c r="H25" s="3" t="inlineStr">
        <is>
          <t>靖江莱得</t>
        </is>
      </c>
      <c r="I25" s="6" t="n">
        <v>1</v>
      </c>
      <c r="J25" s="2" t="n"/>
      <c r="K25" s="2" t="inlineStr">
        <is>
          <t>A4</t>
        </is>
      </c>
      <c r="L25" s="3" t="inlineStr">
        <is>
          <t>2026年之前</t>
        </is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inlineStr">
        <is>
          <t>PI膜</t>
        </is>
      </c>
      <c r="E26" s="2" t="inlineStr">
        <is>
          <t>0.03 / 200mm*20m</t>
        </is>
      </c>
      <c r="F26" s="2" t="n"/>
      <c r="G26" s="2" t="inlineStr">
        <is>
          <t>卷</t>
        </is>
      </c>
      <c r="H26" s="3" t="n"/>
      <c r="I26" s="6" t="n">
        <v>1</v>
      </c>
      <c r="J26" s="2" t="n"/>
      <c r="K26" s="2" t="inlineStr">
        <is>
          <t>A4</t>
        </is>
      </c>
      <c r="L26" s="3" t="inlineStr">
        <is>
          <t>2026年之前</t>
        </is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inlineStr">
        <is>
          <t>PI膜</t>
        </is>
      </c>
      <c r="E27" s="2" t="inlineStr">
        <is>
          <t>52m*25um</t>
        </is>
      </c>
      <c r="F27" s="2" t="n"/>
      <c r="G27" s="2" t="inlineStr">
        <is>
          <t>卷</t>
        </is>
      </c>
      <c r="H27" s="3" t="n"/>
      <c r="I27" s="6" t="n">
        <v>1</v>
      </c>
      <c r="J27" s="2" t="n"/>
      <c r="K27" s="2" t="inlineStr">
        <is>
          <t>A4</t>
        </is>
      </c>
      <c r="L27" s="3" t="inlineStr">
        <is>
          <t>2026年之前</t>
        </is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n"/>
      <c r="B28" s="2" t="n"/>
      <c r="C28" s="2" t="n"/>
      <c r="D28" s="2" t="inlineStr">
        <is>
          <t>PI膜</t>
        </is>
      </c>
      <c r="E28" s="2" t="inlineStr">
        <is>
          <t>52m*50um</t>
        </is>
      </c>
      <c r="F28" s="2" t="n"/>
      <c r="G28" s="2" t="inlineStr">
        <is>
          <t>卷</t>
        </is>
      </c>
      <c r="H28" s="3" t="n"/>
      <c r="I28" s="6" t="n">
        <v>1</v>
      </c>
      <c r="J28" s="2" t="n"/>
      <c r="K28" s="2" t="inlineStr">
        <is>
          <t>A4</t>
        </is>
      </c>
      <c r="L28" s="3" t="inlineStr">
        <is>
          <t>2026年之前</t>
        </is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n"/>
      <c r="B29" s="2" t="n"/>
      <c r="C29" s="2" t="n"/>
      <c r="D29" s="2" t="inlineStr">
        <is>
          <t>即涂黑色防刮哑膜</t>
        </is>
      </c>
      <c r="E29" s="2" t="inlineStr">
        <is>
          <t>XX-JTFGYMHS / 450mm*450m</t>
        </is>
      </c>
      <c r="F29" s="2" t="n"/>
      <c r="G29" s="2" t="inlineStr">
        <is>
          <t>卷</t>
        </is>
      </c>
      <c r="H29" s="3" t="inlineStr">
        <is>
          <t>上海新序</t>
        </is>
      </c>
      <c r="I29" s="6" t="n">
        <v>2</v>
      </c>
      <c r="J29" s="2" t="n"/>
      <c r="K29" s="2" t="inlineStr">
        <is>
          <t>A3</t>
        </is>
      </c>
      <c r="L29" s="3" t="inlineStr">
        <is>
          <t>2026年之前</t>
        </is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n"/>
      <c r="B30" s="2" t="n"/>
      <c r="C30" s="2" t="n"/>
      <c r="D30" s="2" t="inlineStr">
        <is>
          <t>0.03黑色导电裸布</t>
        </is>
      </c>
      <c r="E30" s="2" t="inlineStr">
        <is>
          <t>1100mm*2m*1R</t>
        </is>
      </c>
      <c r="F30" s="2" t="n"/>
      <c r="G30" s="2" t="inlineStr">
        <is>
          <t>卷</t>
        </is>
      </c>
      <c r="H30" s="3" t="inlineStr">
        <is>
          <t>昆山梦航</t>
        </is>
      </c>
      <c r="I30" s="6" t="n">
        <v>1</v>
      </c>
      <c r="J30" s="2" t="n"/>
      <c r="K30" s="2" t="inlineStr">
        <is>
          <t>A3</t>
        </is>
      </c>
      <c r="L30" s="3" t="inlineStr">
        <is>
          <t>2026年之前</t>
        </is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2" t="n"/>
      <c r="B31" s="2" t="n"/>
      <c r="C31" s="2" t="n"/>
      <c r="D31" s="2" t="inlineStr">
        <is>
          <t>PET</t>
        </is>
      </c>
      <c r="E31" s="2" t="inlineStr">
        <is>
          <t>250透明原膜 / 260mm*30m*250um</t>
        </is>
      </c>
      <c r="F31" s="2" t="n"/>
      <c r="G31" s="2" t="inlineStr">
        <is>
          <t>卷</t>
        </is>
      </c>
      <c r="H31" s="3" t="inlineStr">
        <is>
          <t>昆山航创</t>
        </is>
      </c>
      <c r="I31" s="6" t="n">
        <v>1</v>
      </c>
      <c r="J31" s="2" t="n"/>
      <c r="K31" s="2" t="inlineStr">
        <is>
          <t>A3</t>
        </is>
      </c>
      <c r="L31" s="3" t="inlineStr">
        <is>
          <t>2026年之前</t>
        </is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n"/>
      <c r="B32" s="2" t="n"/>
      <c r="C32" s="2" t="n"/>
      <c r="D32" s="2" t="inlineStr">
        <is>
          <t>PET</t>
        </is>
      </c>
      <c r="E32" s="2" t="inlineStr">
        <is>
          <t>46m*0.1mm</t>
        </is>
      </c>
      <c r="F32" s="2" t="n"/>
      <c r="G32" s="2" t="inlineStr">
        <is>
          <t>卷</t>
        </is>
      </c>
      <c r="H32" s="3" t="n"/>
      <c r="I32" s="6" t="n">
        <v>1</v>
      </c>
      <c r="J32" s="2" t="n"/>
      <c r="K32" s="2" t="inlineStr">
        <is>
          <t>A3</t>
        </is>
      </c>
      <c r="L32" s="3" t="inlineStr">
        <is>
          <t>2026年之前</t>
        </is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n"/>
      <c r="B33" s="2" t="n"/>
      <c r="C33" s="2" t="n"/>
      <c r="D33" s="2" t="inlineStr">
        <is>
          <t>PET</t>
        </is>
      </c>
      <c r="E33" s="2" t="inlineStr">
        <is>
          <t>透明原膜(内部带电晕） / 500mm*200m</t>
        </is>
      </c>
      <c r="F33" s="2" t="n"/>
      <c r="G33" s="2" t="inlineStr">
        <is>
          <t>卷</t>
        </is>
      </c>
      <c r="H33" s="3" t="n"/>
      <c r="I33" s="6" t="n">
        <v>1</v>
      </c>
      <c r="J33" s="2" t="n"/>
      <c r="K33" s="2" t="inlineStr">
        <is>
          <t>A3</t>
        </is>
      </c>
      <c r="L33" s="3" t="inlineStr">
        <is>
          <t>2026年之前</t>
        </is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n"/>
      <c r="B34" s="2" t="n"/>
      <c r="C34" s="2" t="n"/>
      <c r="D34" s="2" t="inlineStr">
        <is>
          <t>PET(全新）</t>
        </is>
      </c>
      <c r="E34" s="2" t="inlineStr">
        <is>
          <t>650mm*66m*0.75mm</t>
        </is>
      </c>
      <c r="F34" s="2" t="n"/>
      <c r="G34" s="2" t="inlineStr">
        <is>
          <t>卷</t>
        </is>
      </c>
      <c r="H34" s="3" t="n"/>
      <c r="I34" s="6" t="n">
        <v>1</v>
      </c>
      <c r="J34" s="2" t="n"/>
      <c r="K34" s="2" t="inlineStr">
        <is>
          <t>A3</t>
        </is>
      </c>
      <c r="L34" s="3" t="inlineStr">
        <is>
          <t>2026年之前</t>
        </is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n"/>
      <c r="B35" s="2" t="n"/>
      <c r="C35" s="2" t="n"/>
      <c r="D35" s="2" t="inlineStr">
        <is>
          <t>230纯镍布</t>
        </is>
      </c>
      <c r="E35" s="2" t="inlineStr">
        <is>
          <t>720mm*5m</t>
        </is>
      </c>
      <c r="F35" s="2" t="n"/>
      <c r="G35" s="2" t="inlineStr">
        <is>
          <t>卷</t>
        </is>
      </c>
      <c r="H35" s="3" t="inlineStr">
        <is>
          <t>昆山梦航</t>
        </is>
      </c>
      <c r="I35" s="6" t="n">
        <v>1</v>
      </c>
      <c r="J35" s="2" t="n"/>
      <c r="K35" s="2" t="inlineStr">
        <is>
          <t>A3</t>
        </is>
      </c>
      <c r="L35" s="3" t="inlineStr">
        <is>
          <t>2026年之前</t>
        </is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2" t="n"/>
      <c r="B36" s="2" t="n"/>
      <c r="C36" s="2" t="n"/>
      <c r="D36" s="2" t="inlineStr">
        <is>
          <t>HSB20-400</t>
        </is>
      </c>
      <c r="E36" s="2" t="inlineStr">
        <is>
          <t>1.07mm*5m*1R</t>
        </is>
      </c>
      <c r="F36" s="2" t="n"/>
      <c r="G36" s="2" t="inlineStr">
        <is>
          <t>卷</t>
        </is>
      </c>
      <c r="H36" s="3" t="inlineStr">
        <is>
          <t>昆山梦航</t>
        </is>
      </c>
      <c r="I36" s="6" t="n">
        <v>1</v>
      </c>
      <c r="J36" s="2" t="n"/>
      <c r="K36" s="2" t="inlineStr">
        <is>
          <t>A3</t>
        </is>
      </c>
      <c r="L36" s="3" t="inlineStr">
        <is>
          <t>2026年之前</t>
        </is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2" t="n"/>
      <c r="B37" s="2" t="n"/>
      <c r="C37" s="2" t="n"/>
      <c r="D37" s="2" t="inlineStr">
        <is>
          <t>MH-BD1-320T-05PN</t>
        </is>
      </c>
      <c r="E37" s="2" t="inlineStr">
        <is>
          <t>57m</t>
        </is>
      </c>
      <c r="F37" s="2" t="n"/>
      <c r="G37" s="2" t="inlineStr">
        <is>
          <t>卷</t>
        </is>
      </c>
      <c r="H37" s="3" t="inlineStr">
        <is>
          <t>昆山梦航</t>
        </is>
      </c>
      <c r="I37" s="6" t="n">
        <v>1</v>
      </c>
      <c r="J37" s="2" t="n"/>
      <c r="K37" s="2" t="inlineStr">
        <is>
          <t>A3</t>
        </is>
      </c>
      <c r="L37" s="3" t="inlineStr">
        <is>
          <t>2026年之前</t>
        </is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n"/>
      <c r="B38" s="2" t="n"/>
      <c r="C38" s="2" t="n"/>
      <c r="D38" s="2" t="inlineStr">
        <is>
          <t>MH-BD1-320T-005PN</t>
        </is>
      </c>
      <c r="E38" s="2" t="inlineStr">
        <is>
          <t>0.03mm*1100mm*30m</t>
        </is>
      </c>
      <c r="F38" s="2" t="n"/>
      <c r="G38" s="2" t="inlineStr">
        <is>
          <t>卷</t>
        </is>
      </c>
      <c r="H38" s="3" t="inlineStr">
        <is>
          <t>昆山梦航</t>
        </is>
      </c>
      <c r="I38" s="6" t="n">
        <v>1</v>
      </c>
      <c r="J38" s="2" t="n"/>
      <c r="K38" s="2" t="inlineStr">
        <is>
          <t>A3</t>
        </is>
      </c>
      <c r="L38" s="3" t="inlineStr">
        <is>
          <t>2026年之前</t>
        </is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n"/>
      <c r="B39" s="2" t="n"/>
      <c r="C39" s="2" t="n"/>
      <c r="D39" s="2" t="inlineStr">
        <is>
          <t>JLC</t>
        </is>
      </c>
      <c r="E39" s="2" t="inlineStr">
        <is>
          <t>SY51u-50 / 520mm*15m</t>
        </is>
      </c>
      <c r="F39" s="2" t="n"/>
      <c r="G39" s="2" t="inlineStr">
        <is>
          <t>卷</t>
        </is>
      </c>
      <c r="H39" s="3" t="inlineStr">
        <is>
          <t>昆山三樱</t>
        </is>
      </c>
      <c r="I39" s="6" t="n">
        <v>1</v>
      </c>
      <c r="J39" s="2" t="n"/>
      <c r="K39" s="2" t="inlineStr">
        <is>
          <t>A2</t>
        </is>
      </c>
      <c r="L39" s="3" t="inlineStr">
        <is>
          <t>2026年之前</t>
        </is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2" t="n"/>
      <c r="B40" s="2" t="n"/>
      <c r="C40" s="2" t="n"/>
      <c r="D40" s="2" t="inlineStr">
        <is>
          <t>50U透明离型膜</t>
        </is>
      </c>
      <c r="E40" s="2" t="inlineStr">
        <is>
          <t>RC-5015 / 余料毫米*200m</t>
        </is>
      </c>
      <c r="F40" s="2" t="n"/>
      <c r="G40" s="2" t="inlineStr">
        <is>
          <t>卷</t>
        </is>
      </c>
      <c r="H40" s="3" t="inlineStr">
        <is>
          <t>苏州恒聪</t>
        </is>
      </c>
      <c r="I40" s="6" t="n">
        <v>1</v>
      </c>
      <c r="J40" s="2" t="n"/>
      <c r="K40" s="2" t="inlineStr">
        <is>
          <t>A3</t>
        </is>
      </c>
      <c r="L40" s="3" t="inlineStr">
        <is>
          <t>2026年之前</t>
        </is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n"/>
      <c r="B41" s="2" t="n"/>
      <c r="C41" s="2" t="n"/>
      <c r="D41" s="2" t="inlineStr">
        <is>
          <t>50U透明离型膜</t>
        </is>
      </c>
      <c r="E41" s="2" t="inlineStr">
        <is>
          <t>RC-5015 / 600mm*200m</t>
        </is>
      </c>
      <c r="F41" s="2" t="n"/>
      <c r="G41" s="2" t="inlineStr">
        <is>
          <t>卷</t>
        </is>
      </c>
      <c r="H41" s="3" t="inlineStr">
        <is>
          <t>苏州恒聪</t>
        </is>
      </c>
      <c r="I41" s="6" t="n">
        <v>1</v>
      </c>
      <c r="J41" s="2" t="n"/>
      <c r="K41" s="2" t="inlineStr">
        <is>
          <t>A3</t>
        </is>
      </c>
      <c r="L41" s="3" t="inlineStr">
        <is>
          <t>2026年之前</t>
        </is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n"/>
      <c r="B42" s="2" t="n"/>
      <c r="C42" s="2" t="n"/>
      <c r="D42" s="2" t="inlineStr">
        <is>
          <t>PP本色</t>
        </is>
      </c>
      <c r="E42" s="2" t="inlineStr">
        <is>
          <t>0.75mm*530mm*54m</t>
        </is>
      </c>
      <c r="F42" s="2" t="n"/>
      <c r="G42" s="2" t="inlineStr">
        <is>
          <t>卷</t>
        </is>
      </c>
      <c r="H42" s="3" t="n"/>
      <c r="I42" s="6" t="n">
        <v>1</v>
      </c>
      <c r="J42" s="2" t="n"/>
      <c r="K42" s="2" t="inlineStr">
        <is>
          <t>A2</t>
        </is>
      </c>
      <c r="L42" s="3" t="inlineStr">
        <is>
          <t>2026年之前</t>
        </is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n"/>
      <c r="B43" s="2" t="n"/>
      <c r="C43" s="2" t="n"/>
      <c r="D43" s="2" t="inlineStr">
        <is>
          <t>PP本色</t>
        </is>
      </c>
      <c r="E43" s="2" t="inlineStr">
        <is>
          <t>54m*1mm</t>
        </is>
      </c>
      <c r="F43" s="2" t="n"/>
      <c r="G43" s="2" t="inlineStr">
        <is>
          <t>卷</t>
        </is>
      </c>
      <c r="H43" s="3" t="n"/>
      <c r="I43" s="6" t="n">
        <v>1</v>
      </c>
      <c r="J43" s="2" t="n"/>
      <c r="K43" s="2" t="inlineStr">
        <is>
          <t>A2</t>
        </is>
      </c>
      <c r="L43" s="3" t="inlineStr">
        <is>
          <t>2026年之前</t>
        </is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2" t="n"/>
      <c r="B44" s="2" t="n"/>
      <c r="C44" s="2" t="n"/>
      <c r="D44" s="2" t="inlineStr">
        <is>
          <t>离型膜</t>
        </is>
      </c>
      <c r="E44" s="2" t="inlineStr">
        <is>
          <t>1030mm*700m</t>
        </is>
      </c>
      <c r="F44" s="2" t="n"/>
      <c r="G44" s="2" t="inlineStr">
        <is>
          <t>卷</t>
        </is>
      </c>
      <c r="H44" s="3" t="n"/>
      <c r="I44" s="6" t="n">
        <v>1</v>
      </c>
      <c r="J44" s="2" t="n"/>
      <c r="K44" s="2" t="inlineStr">
        <is>
          <t>A2</t>
        </is>
      </c>
      <c r="L44" s="3" t="inlineStr">
        <is>
          <t>2026年之前</t>
        </is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n"/>
      <c r="B45" s="2" t="n"/>
      <c r="C45" s="2" t="n"/>
      <c r="D45" s="2" t="inlineStr">
        <is>
          <t>双面胶</t>
        </is>
      </c>
      <c r="E45" s="2" t="inlineStr">
        <is>
          <t>HC-DT100-31 / 250mm*100m</t>
        </is>
      </c>
      <c r="F45" s="2" t="n"/>
      <c r="G45" s="2" t="inlineStr">
        <is>
          <t>卷</t>
        </is>
      </c>
      <c r="H45" s="3" t="inlineStr">
        <is>
          <t>航创</t>
        </is>
      </c>
      <c r="I45" s="6" t="n">
        <v>2</v>
      </c>
      <c r="J45" s="2" t="n"/>
      <c r="K45" s="2" t="inlineStr">
        <is>
          <t>B4</t>
        </is>
      </c>
      <c r="L45" s="3" t="inlineStr">
        <is>
          <t>2026年之前</t>
        </is>
      </c>
      <c r="M45" s="2" t="n"/>
      <c r="N45" s="2" t="n">
        <v>1</v>
      </c>
      <c r="O45" s="3" t="n">
        <v>46150</v>
      </c>
      <c r="P45" s="2" t="inlineStr">
        <is>
          <t>韩仁厚</t>
        </is>
      </c>
      <c r="Q45" s="2" t="n"/>
      <c r="R45" s="2" t="n"/>
      <c r="S45" s="2" t="n"/>
      <c r="T45" s="2" t="n"/>
      <c r="U45" s="2" t="n"/>
      <c r="V45" s="2" t="n"/>
    </row>
    <row r="46">
      <c r="A46" s="2" t="n"/>
      <c r="B46" s="2" t="n"/>
      <c r="C46" s="2" t="n"/>
      <c r="D46" s="2" t="inlineStr">
        <is>
          <t>微粘膜</t>
        </is>
      </c>
      <c r="E46" s="2" t="inlineStr">
        <is>
          <t>HCT-101G25 / 490mm*100m</t>
        </is>
      </c>
      <c r="F46" s="2" t="n"/>
      <c r="G46" s="2" t="inlineStr">
        <is>
          <t>卷</t>
        </is>
      </c>
      <c r="H46" s="3" t="inlineStr">
        <is>
          <t>航创</t>
        </is>
      </c>
      <c r="I46" s="6" t="n">
        <v>1</v>
      </c>
      <c r="J46" s="2" t="n"/>
      <c r="K46" s="2" t="inlineStr">
        <is>
          <t>B4</t>
        </is>
      </c>
      <c r="L46" s="3" t="inlineStr">
        <is>
          <t>2026年之前</t>
        </is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n"/>
      <c r="B47" s="2" t="n"/>
      <c r="C47" s="2" t="n"/>
      <c r="D47" s="2" t="inlineStr">
        <is>
          <t>PET基材胶</t>
        </is>
      </c>
      <c r="E47" s="2" t="inlineStr">
        <is>
          <t>KL-158 / 580mm*100m</t>
        </is>
      </c>
      <c r="F47" s="2" t="n"/>
      <c r="G47" s="2" t="inlineStr">
        <is>
          <t>卷</t>
        </is>
      </c>
      <c r="H47" s="3" t="n"/>
      <c r="I47" s="6" t="n">
        <v>1</v>
      </c>
      <c r="J47" s="2" t="n"/>
      <c r="K47" s="2" t="inlineStr">
        <is>
          <t>B1</t>
        </is>
      </c>
      <c r="L47" s="3" t="inlineStr">
        <is>
          <t>2026年之前</t>
        </is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2" t="n"/>
      <c r="B48" s="2" t="n"/>
      <c r="C48" s="2" t="n"/>
      <c r="D48" s="2" t="inlineStr">
        <is>
          <t>透明双面胶</t>
        </is>
      </c>
      <c r="E48" s="2" t="inlineStr">
        <is>
          <t>510mm*20m*0，33mm</t>
        </is>
      </c>
      <c r="F48" s="2" t="n"/>
      <c r="G48" s="2" t="inlineStr">
        <is>
          <t>卷</t>
        </is>
      </c>
      <c r="H48" s="3" t="inlineStr">
        <is>
          <t>苏州业国</t>
        </is>
      </c>
      <c r="I48" s="6" t="n">
        <v>1</v>
      </c>
      <c r="J48" s="2" t="n"/>
      <c r="K48" s="2" t="inlineStr">
        <is>
          <t>B1</t>
        </is>
      </c>
      <c r="L48" s="3" t="inlineStr">
        <is>
          <t>2026年之前</t>
        </is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2" t="n"/>
      <c r="B49" s="2" t="n"/>
      <c r="C49" s="2" t="n"/>
      <c r="D49" s="2" t="inlineStr">
        <is>
          <t>无基材纯胶</t>
        </is>
      </c>
      <c r="E49" s="2" t="inlineStr">
        <is>
          <t>51m</t>
        </is>
      </c>
      <c r="F49" s="2" t="n"/>
      <c r="G49" s="2" t="inlineStr">
        <is>
          <t>卷</t>
        </is>
      </c>
      <c r="H49" s="3" t="n"/>
      <c r="I49" s="6" t="n">
        <v>1</v>
      </c>
      <c r="J49" s="2" t="n"/>
      <c r="K49" s="2" t="inlineStr">
        <is>
          <t>B1</t>
        </is>
      </c>
      <c r="L49" s="3" t="inlineStr">
        <is>
          <t>2026年之前</t>
        </is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n"/>
      <c r="B50" s="2" t="n"/>
      <c r="C50" s="2" t="n"/>
      <c r="D50" s="2" t="inlineStr">
        <is>
          <t>双面胶</t>
        </is>
      </c>
      <c r="E50" s="2" t="inlineStr">
        <is>
          <t>DS-01 / 550mm*100m</t>
        </is>
      </c>
      <c r="F50" s="2" t="n"/>
      <c r="G50" s="2" t="inlineStr">
        <is>
          <t>卷</t>
        </is>
      </c>
      <c r="H50" s="3" t="inlineStr">
        <is>
          <t>太仓泰邦</t>
        </is>
      </c>
      <c r="I50" s="6" t="n">
        <v>1</v>
      </c>
      <c r="J50" s="2" t="n"/>
      <c r="K50" s="2" t="inlineStr">
        <is>
          <t>B1</t>
        </is>
      </c>
      <c r="L50" s="3" t="inlineStr">
        <is>
          <t>2026年之前</t>
        </is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n"/>
      <c r="B51" s="2" t="n"/>
      <c r="C51" s="2" t="n"/>
      <c r="D51" s="2" t="inlineStr">
        <is>
          <t>棉纸双面胶</t>
        </is>
      </c>
      <c r="E51" s="2" t="inlineStr">
        <is>
          <t>斯戴达DS-15 / 550mm*20m</t>
        </is>
      </c>
      <c r="F51" s="2" t="n"/>
      <c r="G51" s="2" t="inlineStr">
        <is>
          <t>卷</t>
        </is>
      </c>
      <c r="H51" s="3" t="inlineStr">
        <is>
          <t>太仓泰邦</t>
        </is>
      </c>
      <c r="I51" s="6" t="n">
        <v>1</v>
      </c>
      <c r="J51" s="2" t="n"/>
      <c r="K51" s="2" t="inlineStr">
        <is>
          <t>B1</t>
        </is>
      </c>
      <c r="L51" s="3" t="inlineStr">
        <is>
          <t>2026年之前</t>
        </is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n"/>
      <c r="B52" s="2" t="n"/>
      <c r="C52" s="2" t="n"/>
      <c r="D52" s="2" t="inlineStr">
        <is>
          <t>CROWN基材双面胶</t>
        </is>
      </c>
      <c r="E52" s="2" t="inlineStr">
        <is>
          <t>50.5m</t>
        </is>
      </c>
      <c r="F52" s="2" t="n"/>
      <c r="G52" s="2" t="inlineStr">
        <is>
          <t>卷</t>
        </is>
      </c>
      <c r="H52" s="3" t="n"/>
      <c r="I52" s="6" t="n">
        <v>1</v>
      </c>
      <c r="J52" s="2" t="n"/>
      <c r="K52" s="2" t="inlineStr">
        <is>
          <t>B1</t>
        </is>
      </c>
      <c r="L52" s="3" t="inlineStr">
        <is>
          <t>2026年之前</t>
        </is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n"/>
      <c r="B53" s="2" t="n"/>
      <c r="C53" s="2" t="n"/>
      <c r="D53" s="2" t="inlineStr">
        <is>
          <t>厚基材双面胶</t>
        </is>
      </c>
      <c r="E53" s="2" t="inlineStr">
        <is>
          <t>YGTS25033B-A / 510mm*25m</t>
        </is>
      </c>
      <c r="F53" s="2" t="n"/>
      <c r="G53" s="2" t="inlineStr">
        <is>
          <t>卷</t>
        </is>
      </c>
      <c r="H53" s="3" t="n"/>
      <c r="I53" s="6" t="n">
        <v>1</v>
      </c>
      <c r="J53" s="2" t="n"/>
      <c r="K53" s="2" t="inlineStr">
        <is>
          <t>B1</t>
        </is>
      </c>
      <c r="L53" s="3" t="inlineStr">
        <is>
          <t>2026年之前</t>
        </is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n"/>
      <c r="B54" s="2" t="n"/>
      <c r="C54" s="2" t="n"/>
      <c r="D54" s="2" t="inlineStr">
        <is>
          <t>90度热熔胶</t>
        </is>
      </c>
      <c r="E54" s="2" t="inlineStr">
        <is>
          <t>30.5m</t>
        </is>
      </c>
      <c r="F54" s="2" t="n"/>
      <c r="G54" s="2" t="inlineStr">
        <is>
          <t>卷</t>
        </is>
      </c>
      <c r="H54" s="3" t="n"/>
      <c r="I54" s="6" t="n">
        <v>1</v>
      </c>
      <c r="J54" s="2" t="n"/>
      <c r="K54" s="2" t="inlineStr">
        <is>
          <t>B1</t>
        </is>
      </c>
      <c r="L54" s="3" t="inlineStr">
        <is>
          <t>2026年之前</t>
        </is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n"/>
      <c r="B55" s="2" t="n"/>
      <c r="C55" s="2" t="n"/>
      <c r="D55" s="2" t="inlineStr">
        <is>
          <t>米乐奇双面胶</t>
        </is>
      </c>
      <c r="E55" s="2" t="inlineStr">
        <is>
          <t>47m</t>
        </is>
      </c>
      <c r="F55" s="2" t="n"/>
      <c r="G55" s="2" t="inlineStr">
        <is>
          <t>卷</t>
        </is>
      </c>
      <c r="H55" s="3" t="n"/>
      <c r="I55" s="6" t="n">
        <v>19</v>
      </c>
      <c r="J55" s="2" t="n"/>
      <c r="K55" s="2" t="inlineStr">
        <is>
          <t>B2</t>
        </is>
      </c>
      <c r="L55" s="3" t="inlineStr">
        <is>
          <t>2026年之前</t>
        </is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n"/>
      <c r="B56" s="2" t="n"/>
      <c r="C56" s="2" t="n"/>
      <c r="D56" s="2" t="inlineStr">
        <is>
          <t>发货盒</t>
        </is>
      </c>
      <c r="E56" s="2" t="inlineStr">
        <is>
          <t>33m</t>
        </is>
      </c>
      <c r="F56" s="2" t="n"/>
      <c r="G56" s="2" t="inlineStr">
        <is>
          <t>个</t>
        </is>
      </c>
      <c r="H56" s="3" t="n"/>
      <c r="I56" s="6" t="n">
        <v>18</v>
      </c>
      <c r="J56" s="2" t="n"/>
      <c r="K56" s="2" t="inlineStr">
        <is>
          <t>B3</t>
        </is>
      </c>
      <c r="L56" s="3" t="inlineStr">
        <is>
          <t>2026年之前</t>
        </is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inlineStr">
        <is>
          <t>3M双面胶</t>
        </is>
      </c>
      <c r="E57" s="2" t="inlineStr">
        <is>
          <t>25.5m</t>
        </is>
      </c>
      <c r="F57" s="2" t="n"/>
      <c r="G57" s="2" t="inlineStr">
        <is>
          <t>卷</t>
        </is>
      </c>
      <c r="H57" s="3" t="n"/>
      <c r="I57" s="6" t="n">
        <v>4</v>
      </c>
      <c r="J57" s="2" t="n"/>
      <c r="K57" s="2" t="inlineStr">
        <is>
          <t>B3</t>
        </is>
      </c>
      <c r="L57" s="3" t="inlineStr">
        <is>
          <t>2026年之前</t>
        </is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inlineStr">
        <is>
          <t>导电胶</t>
        </is>
      </c>
      <c r="E58" s="2" t="inlineStr">
        <is>
          <t>TD301-03B / 1080mm*110m*30um</t>
        </is>
      </c>
      <c r="F58" s="2" t="n"/>
      <c r="G58" s="2" t="inlineStr">
        <is>
          <t>卷</t>
        </is>
      </c>
      <c r="H58" s="3" t="inlineStr">
        <is>
          <t>安徽和和</t>
        </is>
      </c>
      <c r="I58" s="6" t="n">
        <v>3</v>
      </c>
      <c r="J58" s="2" t="n"/>
      <c r="K58" s="2" t="inlineStr">
        <is>
          <t>B4</t>
        </is>
      </c>
      <c r="L58" s="3" t="inlineStr">
        <is>
          <t>2026年之前</t>
        </is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inlineStr">
        <is>
          <t>光解减粘膜</t>
        </is>
      </c>
      <c r="E59" s="2" t="inlineStr">
        <is>
          <t>520*100m</t>
        </is>
      </c>
      <c r="F59" s="2" t="n"/>
      <c r="G59" s="2" t="inlineStr">
        <is>
          <t>卷</t>
        </is>
      </c>
      <c r="H59" s="3" t="n"/>
      <c r="I59" s="6" t="n">
        <v>1</v>
      </c>
      <c r="J59" s="2" t="n"/>
      <c r="K59" s="2" t="inlineStr">
        <is>
          <t>B4</t>
        </is>
      </c>
      <c r="L59" s="3" t="inlineStr">
        <is>
          <t>2026年之前</t>
        </is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inlineStr">
        <is>
          <t>TT硅胶</t>
        </is>
      </c>
      <c r="E60" s="2" t="inlineStr">
        <is>
          <t>101m*0.5mm单面磨砂</t>
        </is>
      </c>
      <c r="F60" s="2" t="n"/>
      <c r="G60" s="2" t="inlineStr">
        <is>
          <t>卷</t>
        </is>
      </c>
      <c r="H60" s="3" t="n"/>
      <c r="I60" s="6" t="n">
        <v>1</v>
      </c>
      <c r="J60" s="2" t="n"/>
      <c r="K60" s="2" t="inlineStr">
        <is>
          <t>B4</t>
        </is>
      </c>
      <c r="L60" s="3" t="inlineStr">
        <is>
          <t>2026年之前</t>
        </is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2" t="n"/>
      <c r="B61" s="2" t="n"/>
      <c r="C61" s="2" t="n"/>
      <c r="D61" s="2" t="inlineStr">
        <is>
          <t>TT硅胶</t>
        </is>
      </c>
      <c r="E61" s="2" t="inlineStr">
        <is>
          <t>51m*0.5mm单面磨砂</t>
        </is>
      </c>
      <c r="F61" s="2" t="n"/>
      <c r="G61" s="2" t="inlineStr">
        <is>
          <t>卷</t>
        </is>
      </c>
      <c r="H61" s="3" t="n"/>
      <c r="I61" s="6" t="n">
        <v>1</v>
      </c>
      <c r="J61" s="2" t="n"/>
      <c r="K61" s="2" t="inlineStr">
        <is>
          <t>B4</t>
        </is>
      </c>
      <c r="L61" s="3" t="inlineStr">
        <is>
          <t>2026年之前</t>
        </is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2" t="n"/>
      <c r="B62" s="2" t="n"/>
      <c r="C62" s="2" t="n"/>
      <c r="D62" s="2" t="inlineStr">
        <is>
          <t>PET双面胶</t>
        </is>
      </c>
      <c r="E62" s="2" t="inlineStr">
        <is>
          <t>290mm*100m</t>
        </is>
      </c>
      <c r="F62" s="2" t="n"/>
      <c r="G62" s="2" t="inlineStr">
        <is>
          <t>卷</t>
        </is>
      </c>
      <c r="H62" s="3" t="inlineStr">
        <is>
          <t>靖江莱得</t>
        </is>
      </c>
      <c r="I62" s="6" t="n">
        <v>1</v>
      </c>
      <c r="J62" s="2" t="n"/>
      <c r="K62" s="2" t="inlineStr">
        <is>
          <t>B4</t>
        </is>
      </c>
      <c r="L62" s="3" t="inlineStr">
        <is>
          <t>2026年之前</t>
        </is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2" t="n"/>
      <c r="B63" s="2" t="n"/>
      <c r="C63" s="2" t="n"/>
      <c r="D63" s="2" t="inlineStr">
        <is>
          <t>PET双面胶</t>
        </is>
      </c>
      <c r="E63" s="2" t="inlineStr">
        <is>
          <t>200mm*100m</t>
        </is>
      </c>
      <c r="F63" s="2" t="n"/>
      <c r="G63" s="2" t="inlineStr">
        <is>
          <t>卷</t>
        </is>
      </c>
      <c r="H63" s="3" t="inlineStr">
        <is>
          <t>靖江莱得</t>
        </is>
      </c>
      <c r="I63" s="6" t="n">
        <v>1</v>
      </c>
      <c r="J63" s="2" t="n"/>
      <c r="K63" s="2" t="inlineStr">
        <is>
          <t>B4</t>
        </is>
      </c>
      <c r="L63" s="3" t="inlineStr">
        <is>
          <t>2026年之前</t>
        </is>
      </c>
      <c r="M63" s="2" t="n"/>
      <c r="N63" s="2" t="n">
        <v>1</v>
      </c>
      <c r="O63" s="3" t="n">
        <v>46149</v>
      </c>
      <c r="P63" s="2" t="inlineStr">
        <is>
          <t>沈姐</t>
        </is>
      </c>
      <c r="Q63" s="2" t="n"/>
      <c r="R63" s="2" t="n"/>
      <c r="S63" s="2" t="n"/>
      <c r="T63" s="2" t="n"/>
      <c r="U63" s="2" t="n"/>
      <c r="V63" s="2" t="n"/>
    </row>
    <row r="64">
      <c r="A64" s="2" t="n"/>
      <c r="B64" s="2" t="n"/>
      <c r="C64" s="2" t="n"/>
      <c r="D64" s="2" t="inlineStr">
        <is>
          <t>UT50404</t>
        </is>
      </c>
      <c r="E64" s="2" t="inlineStr">
        <is>
          <t>200mm*20m</t>
        </is>
      </c>
      <c r="F64" s="2" t="n"/>
      <c r="G64" s="2" t="inlineStr">
        <is>
          <t>卷</t>
        </is>
      </c>
      <c r="H64" s="3" t="inlineStr">
        <is>
          <t>上海竹隽</t>
        </is>
      </c>
      <c r="I64" s="6" t="n">
        <v>1</v>
      </c>
      <c r="J64" s="2" t="n"/>
      <c r="K64" s="2" t="inlineStr">
        <is>
          <t>C2</t>
        </is>
      </c>
      <c r="L64" s="3" t="inlineStr">
        <is>
          <t>2026年之前</t>
        </is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2" t="n"/>
      <c r="B65" s="2" t="n"/>
      <c r="C65" s="2" t="n"/>
      <c r="D65" s="2" t="inlineStr">
        <is>
          <t>UT50404</t>
        </is>
      </c>
      <c r="E65" s="2" t="inlineStr">
        <is>
          <t>200mm*10m</t>
        </is>
      </c>
      <c r="F65" s="2" t="n"/>
      <c r="G65" s="2" t="inlineStr">
        <is>
          <t>卷</t>
        </is>
      </c>
      <c r="H65" s="3" t="inlineStr">
        <is>
          <t>上海竹隽</t>
        </is>
      </c>
      <c r="I65" s="6" t="n">
        <v>1</v>
      </c>
      <c r="J65" s="2" t="n"/>
      <c r="K65" s="2" t="inlineStr">
        <is>
          <t>C2</t>
        </is>
      </c>
      <c r="L65" s="3" t="inlineStr">
        <is>
          <t>2026年之前</t>
        </is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2" t="n"/>
      <c r="B66" s="2" t="n"/>
      <c r="C66" s="2" t="n"/>
      <c r="D66" s="2" t="inlineStr">
        <is>
          <t>TESA胶带</t>
        </is>
      </c>
      <c r="E66" s="2" t="inlineStr">
        <is>
          <t>88676 / 340mm*4m</t>
        </is>
      </c>
      <c r="F66" s="2" t="n"/>
      <c r="G66" s="2" t="inlineStr">
        <is>
          <t>卷</t>
        </is>
      </c>
      <c r="H66" s="3" t="n"/>
      <c r="I66" s="6" t="n">
        <v>1</v>
      </c>
      <c r="J66" s="2" t="n"/>
      <c r="K66" s="2" t="inlineStr">
        <is>
          <t>C2</t>
        </is>
      </c>
      <c r="L66" s="3" t="inlineStr">
        <is>
          <t>2026年之前</t>
        </is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2" t="n"/>
      <c r="B67" s="2" t="n"/>
      <c r="C67" s="2" t="n"/>
      <c r="D67" s="2" t="inlineStr">
        <is>
          <t>TESA胶带</t>
        </is>
      </c>
      <c r="E67" s="2" t="inlineStr">
        <is>
          <t>88676 / 240mm*100m</t>
        </is>
      </c>
      <c r="F67" s="2" t="n"/>
      <c r="G67" s="2" t="inlineStr">
        <is>
          <t>卷</t>
        </is>
      </c>
      <c r="H67" s="3" t="n"/>
      <c r="I67" s="6" t="n">
        <v>1</v>
      </c>
      <c r="J67" s="2" t="n"/>
      <c r="K67" s="2" t="inlineStr">
        <is>
          <t>C2</t>
        </is>
      </c>
      <c r="L67" s="3" t="inlineStr">
        <is>
          <t>2026年之前</t>
        </is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>
      <c r="A68" s="2" t="n"/>
      <c r="B68" s="2" t="n"/>
      <c r="C68" s="2" t="n"/>
      <c r="D68" s="2" t="inlineStr">
        <is>
          <t>PET</t>
        </is>
      </c>
      <c r="E68" s="2" t="inlineStr">
        <is>
          <t>103m*0.025</t>
        </is>
      </c>
      <c r="F68" s="2" t="n"/>
      <c r="G68" s="2" t="inlineStr">
        <is>
          <t>卷</t>
        </is>
      </c>
      <c r="H68" s="3" t="n"/>
      <c r="I68" s="6" t="n">
        <v>2</v>
      </c>
      <c r="J68" s="2" t="n"/>
      <c r="K68" s="2" t="inlineStr">
        <is>
          <t>A2</t>
        </is>
      </c>
      <c r="L68" s="3" t="inlineStr">
        <is>
          <t>2026年之前</t>
        </is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>
      <c r="A69" s="2" t="n"/>
      <c r="B69" s="2" t="n"/>
      <c r="C69" s="2" t="n"/>
      <c r="D69" s="2" t="inlineStr">
        <is>
          <t>FPC排线</t>
        </is>
      </c>
      <c r="E69" s="2" t="inlineStr">
        <is>
          <t>RWP-PTSA-001-V1.0大 / 58m</t>
        </is>
      </c>
      <c r="F69" s="2" t="n"/>
      <c r="G69" s="2" t="inlineStr">
        <is>
          <t>片</t>
        </is>
      </c>
      <c r="H69" s="2" t="inlineStr">
        <is>
          <t>中山东迪</t>
        </is>
      </c>
      <c r="I69" s="7" t="n">
        <v>19</v>
      </c>
      <c r="J69" s="2" t="n"/>
      <c r="K69" s="2" t="inlineStr">
        <is>
          <t>A2</t>
        </is>
      </c>
      <c r="L69" s="2" t="inlineStr">
        <is>
          <t>26.4.28</t>
        </is>
      </c>
      <c r="M69" s="2" t="n">
        <v>36</v>
      </c>
      <c r="N69" s="2" t="n">
        <v>17</v>
      </c>
      <c r="O69" s="3" t="n">
        <v>46139</v>
      </c>
      <c r="P69" s="2" t="inlineStr">
        <is>
          <t>朱红丽</t>
        </is>
      </c>
      <c r="Q69" s="2" t="n"/>
      <c r="R69" s="2" t="n"/>
      <c r="S69" s="2" t="n"/>
      <c r="T69" s="2" t="n"/>
      <c r="U69" s="2" t="n"/>
      <c r="V69" s="2" t="n"/>
    </row>
    <row r="70">
      <c r="A70" s="2" t="n"/>
      <c r="B70" s="2" t="n"/>
      <c r="C70" s="2" t="n"/>
      <c r="D70" s="2" t="inlineStr">
        <is>
          <t>热缩管</t>
        </is>
      </c>
      <c r="E70" s="5" t="inlineStr">
        <is>
          <t>12-5</t>
        </is>
      </c>
      <c r="F70" s="2" t="n"/>
      <c r="G70" s="2" t="inlineStr">
        <is>
          <t>米</t>
        </is>
      </c>
      <c r="H70" s="2" t="inlineStr">
        <is>
          <t>新恒翼五金</t>
        </is>
      </c>
      <c r="I70" s="6">
        <f>M70-N70</f>
        <v/>
      </c>
      <c r="J70" s="2" t="n"/>
      <c r="K70" s="18" t="inlineStr">
        <is>
          <t>无</t>
        </is>
      </c>
      <c r="L70" s="2" t="inlineStr">
        <is>
          <t>26.5.7</t>
        </is>
      </c>
      <c r="M70" s="2" t="n">
        <v>40</v>
      </c>
      <c r="N70" s="2" t="n">
        <v>40</v>
      </c>
      <c r="O70" s="3" t="n">
        <v>46149</v>
      </c>
      <c r="P70" s="2" t="inlineStr">
        <is>
          <t>沈姐</t>
        </is>
      </c>
      <c r="Q70" s="2" t="n"/>
      <c r="R70" s="2" t="n"/>
      <c r="S70" s="2" t="n"/>
      <c r="T70" s="2" t="n"/>
      <c r="U70" s="2" t="n"/>
      <c r="V70" s="2" t="n"/>
    </row>
    <row r="71">
      <c r="A71" s="2" t="n"/>
      <c r="B71" s="2" t="n"/>
      <c r="C71" s="2" t="n"/>
      <c r="D71" s="2" t="inlineStr">
        <is>
          <t>50umPET双面胶(HC-DT50-31)</t>
        </is>
      </c>
      <c r="E71" s="2" t="inlineStr">
        <is>
          <t>250mm*200m</t>
        </is>
      </c>
      <c r="F71" s="2" t="n"/>
      <c r="G71" s="2" t="inlineStr">
        <is>
          <t>卷</t>
        </is>
      </c>
      <c r="H71" s="2" t="inlineStr">
        <is>
          <t>航创</t>
        </is>
      </c>
      <c r="I71" s="6">
        <f>M71-N71</f>
        <v/>
      </c>
      <c r="J71" s="2" t="n"/>
      <c r="K71" s="8" t="inlineStr">
        <is>
          <t>C4</t>
        </is>
      </c>
      <c r="L71" s="2" t="inlineStr">
        <is>
          <t>26.5.8</t>
        </is>
      </c>
      <c r="M71" s="2" t="n">
        <v>4</v>
      </c>
      <c r="N71" s="2" t="n">
        <v>1</v>
      </c>
      <c r="O71" s="3" t="n">
        <v>46150</v>
      </c>
      <c r="P71" s="2" t="inlineStr">
        <is>
          <t>朱红丽</t>
        </is>
      </c>
      <c r="Q71" s="2" t="n"/>
      <c r="R71" s="2" t="n"/>
      <c r="S71" s="2" t="n"/>
      <c r="T71" s="2" t="n"/>
      <c r="U71" s="2" t="n"/>
      <c r="V71" s="2" t="n"/>
    </row>
    <row r="72">
      <c r="A72" s="2" t="n"/>
      <c r="B72" s="2" t="n"/>
      <c r="C72" s="2" t="n"/>
      <c r="D72" s="2" t="inlineStr">
        <is>
          <t>HCT100(内部表面带电晕）</t>
        </is>
      </c>
      <c r="E72" s="2" t="inlineStr">
        <is>
          <t>0.1透明原膜 / 280mm*1R*余料*200m</t>
        </is>
      </c>
      <c r="F72" s="2" t="n"/>
      <c r="G72" s="2" t="inlineStr">
        <is>
          <t>卷</t>
        </is>
      </c>
      <c r="H72" s="2" t="inlineStr">
        <is>
          <t>航创</t>
        </is>
      </c>
      <c r="I72" s="6" t="n">
        <v>1</v>
      </c>
      <c r="J72" s="2" t="n"/>
      <c r="K72" s="2" t="inlineStr">
        <is>
          <t>C2</t>
        </is>
      </c>
      <c r="L72" s="3" t="inlineStr">
        <is>
          <t>2026年之前</t>
        </is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2" t="n"/>
      <c r="B73" s="2" t="n"/>
      <c r="C73" s="2" t="n"/>
      <c r="D73" s="2" t="inlineStr">
        <is>
          <t>防静电自封袋</t>
        </is>
      </c>
      <c r="E73" s="2" t="inlineStr">
        <is>
          <t>8cm</t>
        </is>
      </c>
      <c r="F73" s="2" t="n"/>
      <c r="G73" s="2" t="inlineStr">
        <is>
          <t>个</t>
        </is>
      </c>
      <c r="H73" s="2" t="n"/>
      <c r="I73" s="6">
        <f>M73-N73</f>
        <v/>
      </c>
      <c r="J73" s="2" t="n"/>
      <c r="K73" s="2" t="inlineStr">
        <is>
          <t>C3</t>
        </is>
      </c>
      <c r="L73" s="3" t="inlineStr">
        <is>
          <t>2026年之前</t>
        </is>
      </c>
      <c r="M73" s="2" t="n">
        <v>57</v>
      </c>
      <c r="N73" s="2" t="n">
        <v>20</v>
      </c>
      <c r="O73" s="3" t="n">
        <v>46155</v>
      </c>
      <c r="P73" s="2" t="inlineStr">
        <is>
          <t>唐琳琳</t>
        </is>
      </c>
      <c r="Q73" s="2" t="n"/>
      <c r="R73" s="2" t="n"/>
      <c r="S73" s="2" t="n"/>
      <c r="T73" s="2" t="n"/>
      <c r="U73" s="2" t="n"/>
      <c r="V73" s="2" t="n"/>
    </row>
    <row r="74">
      <c r="A74" s="2" t="n"/>
      <c r="B74" s="2" t="n"/>
      <c r="C74" s="2" t="n"/>
      <c r="D74" s="2" t="inlineStr">
        <is>
          <t>白色自封袋</t>
        </is>
      </c>
      <c r="E74" s="2" t="inlineStr">
        <is>
          <t>30cm</t>
        </is>
      </c>
      <c r="F74" s="2" t="n"/>
      <c r="G74" s="2" t="inlineStr">
        <is>
          <t>个</t>
        </is>
      </c>
      <c r="H74" s="2" t="n"/>
      <c r="I74" s="6">
        <f>M74-N74-Q74</f>
        <v/>
      </c>
      <c r="J74" s="2" t="n"/>
      <c r="K74" s="2" t="inlineStr">
        <is>
          <t>C3</t>
        </is>
      </c>
      <c r="L74" s="3" t="inlineStr">
        <is>
          <t>2026年之前</t>
        </is>
      </c>
      <c r="M74" s="2" t="n">
        <v>218</v>
      </c>
      <c r="N74" s="2" t="n">
        <v>20</v>
      </c>
      <c r="O74" s="3" t="n">
        <v>46155</v>
      </c>
      <c r="P74" s="2" t="inlineStr">
        <is>
          <t>沈姐</t>
        </is>
      </c>
      <c r="Q74" s="2" t="n">
        <v>2</v>
      </c>
      <c r="R74" s="3" t="n">
        <v>46156</v>
      </c>
      <c r="S74" s="2" t="inlineStr">
        <is>
          <t>朱红丽</t>
        </is>
      </c>
      <c r="T74" s="2" t="n"/>
      <c r="U74" s="2" t="n"/>
      <c r="V74" s="2" t="n"/>
    </row>
    <row r="75">
      <c r="A75" s="2" t="n"/>
      <c r="B75" s="2" t="n"/>
      <c r="C75" s="2" t="n"/>
      <c r="D75" s="2" t="inlineStr">
        <is>
          <t>无尘布</t>
        </is>
      </c>
      <c r="E75" s="2" t="n"/>
      <c r="F75" s="2" t="n"/>
      <c r="G75" s="2" t="inlineStr">
        <is>
          <t>包</t>
        </is>
      </c>
      <c r="H75" s="2" t="n"/>
      <c r="I75" s="6" t="n">
        <v>2</v>
      </c>
      <c r="J75" s="2" t="n"/>
      <c r="K75" s="2" t="inlineStr">
        <is>
          <t>C4</t>
        </is>
      </c>
      <c r="L75" s="3" t="inlineStr">
        <is>
          <t>2026年之前</t>
        </is>
      </c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2" t="n"/>
      <c r="B76" s="2" t="n"/>
      <c r="C76" s="2" t="n"/>
      <c r="D76" s="2" t="inlineStr">
        <is>
          <t>ZYH504-S5码-右-背胶-V2.1</t>
        </is>
      </c>
      <c r="E76" s="2" t="inlineStr">
        <is>
          <t>110.4*264.3</t>
        </is>
      </c>
      <c r="F76" s="2" t="n"/>
      <c r="G76" s="2" t="inlineStr">
        <is>
          <t>个</t>
        </is>
      </c>
      <c r="H76" s="2" t="inlineStr">
        <is>
          <t>常州浩达</t>
        </is>
      </c>
      <c r="I76" s="6" t="n">
        <v>12</v>
      </c>
      <c r="J76" s="2" t="n"/>
      <c r="K76" s="2" t="inlineStr">
        <is>
          <t>B3</t>
        </is>
      </c>
      <c r="L76" s="3" t="inlineStr">
        <is>
          <t>2026年之前</t>
        </is>
      </c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A77" s="2" t="n"/>
      <c r="B77" s="2" t="n"/>
      <c r="C77" s="2" t="n"/>
      <c r="D77" s="2" t="inlineStr">
        <is>
          <t>ZYH504-S5码-左-背胶-V2.1</t>
        </is>
      </c>
      <c r="E77" s="2" t="inlineStr">
        <is>
          <t>110.4*264.3</t>
        </is>
      </c>
      <c r="F77" s="2" t="n"/>
      <c r="G77" s="2" t="inlineStr">
        <is>
          <t>个</t>
        </is>
      </c>
      <c r="H77" s="2" t="n"/>
      <c r="I77" s="6" t="n">
        <v>32</v>
      </c>
      <c r="J77" s="2" t="n"/>
      <c r="K77" s="2" t="inlineStr">
        <is>
          <t>B3</t>
        </is>
      </c>
      <c r="L77" s="3" t="inlineStr">
        <is>
          <t>2026年之前</t>
        </is>
      </c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A78" s="2" t="n"/>
      <c r="B78" s="2" t="n"/>
      <c r="C78" s="2" t="n"/>
      <c r="D78" s="2" t="inlineStr">
        <is>
          <t>ZYH504-S5码-左-布-V2.1</t>
        </is>
      </c>
      <c r="E78" s="2" t="inlineStr">
        <is>
          <t>110.4*264.3</t>
        </is>
      </c>
      <c r="F78" s="2" t="n"/>
      <c r="G78" s="2" t="inlineStr">
        <is>
          <t>个</t>
        </is>
      </c>
      <c r="H78" s="2" t="inlineStr">
        <is>
          <t>常州浩达</t>
        </is>
      </c>
      <c r="I78" s="6" t="n">
        <v>20</v>
      </c>
      <c r="J78" s="2" t="n"/>
      <c r="K78" s="2" t="inlineStr">
        <is>
          <t>B3</t>
        </is>
      </c>
      <c r="L78" s="3" t="inlineStr">
        <is>
          <t>2026年之前</t>
        </is>
      </c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2" t="n"/>
      <c r="B79" s="2" t="n"/>
      <c r="C79" s="2" t="n"/>
      <c r="D79" s="2" t="inlineStr">
        <is>
          <t>ZYH504-S5码-右-布-V2.1</t>
        </is>
      </c>
      <c r="E79" s="2" t="inlineStr">
        <is>
          <t>110.4*264.3</t>
        </is>
      </c>
      <c r="F79" s="2" t="n"/>
      <c r="G79" s="2" t="inlineStr">
        <is>
          <t>个</t>
        </is>
      </c>
      <c r="H79" s="2" t="n"/>
      <c r="I79" s="6" t="n">
        <v>64</v>
      </c>
      <c r="J79" s="2" t="n"/>
      <c r="K79" s="2" t="inlineStr">
        <is>
          <t>B3</t>
        </is>
      </c>
      <c r="L79" s="3" t="inlineStr">
        <is>
          <t>2026年之前</t>
        </is>
      </c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2" t="n"/>
      <c r="B80" s="2" t="n"/>
      <c r="C80" s="2" t="n"/>
      <c r="D80" s="2" t="n"/>
      <c r="E80" s="2" t="inlineStr">
        <is>
          <t>3M(467MP)</t>
        </is>
      </c>
      <c r="F80" s="2" t="n"/>
      <c r="G80" s="2" t="inlineStr">
        <is>
          <t>卷</t>
        </is>
      </c>
      <c r="H80" s="2" t="n"/>
      <c r="I80" s="6" t="n">
        <v>1</v>
      </c>
      <c r="J80" s="2" t="n"/>
      <c r="K80" s="2" t="inlineStr">
        <is>
          <t>A2</t>
        </is>
      </c>
      <c r="L80" s="3" t="inlineStr">
        <is>
          <t>2026年之前</t>
        </is>
      </c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2" t="n"/>
      <c r="B81" s="2" t="n"/>
      <c r="C81" s="2" t="n"/>
      <c r="D81" s="2" t="inlineStr">
        <is>
          <t xml:space="preserve">嘉宝莉特慢干稀释剂CCS327  </t>
        </is>
      </c>
      <c r="E81" s="2" t="n"/>
      <c r="F81" s="2" t="n"/>
      <c r="G81" s="2" t="inlineStr">
        <is>
          <t>公斤</t>
        </is>
      </c>
      <c r="H81" s="2" t="inlineStr">
        <is>
          <t>石家庄润佳</t>
        </is>
      </c>
      <c r="I81" s="6" t="n">
        <v>5</v>
      </c>
      <c r="J81" s="2" t="n"/>
      <c r="K81" s="2" t="inlineStr">
        <is>
          <t>A2</t>
        </is>
      </c>
      <c r="L81" s="3" t="inlineStr">
        <is>
          <t>2026年之前</t>
        </is>
      </c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6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6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</sheetData>
  <autoFilter ref="A1:V79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V25"/>
  <sheetViews>
    <sheetView workbookViewId="0">
      <selection activeCell="A23" sqref="A23"/>
    </sheetView>
  </sheetViews>
  <sheetFormatPr baseColWidth="8" defaultRowHeight="13.9"/>
  <cols>
    <col width="28.19921875" bestFit="1" customWidth="1" min="2" max="2"/>
    <col width="27.53125" bestFit="1" customWidth="1" min="3" max="3"/>
    <col width="15" bestFit="1" customWidth="1" min="7" max="7"/>
    <col width="9.59765625" bestFit="1" customWidth="1" min="8" max="8"/>
    <col width="19.1328125" bestFit="1" customWidth="1" min="10" max="10"/>
    <col width="9.59765625" bestFit="1" customWidth="1" min="12" max="12"/>
    <col width="9.59765625" bestFit="1" customWidth="1" min="15" max="15"/>
    <col width="17.06640625" bestFit="1" customWidth="1" min="21" max="21"/>
    <col width="29.33203125" bestFit="1" customWidth="1" min="22" max="22"/>
  </cols>
  <sheetData>
    <row r="1" ht="15" customHeight="1">
      <c r="B1" s="9" t="inlineStr">
        <is>
          <t>物料名称</t>
        </is>
      </c>
      <c r="C1" s="9" t="inlineStr">
        <is>
          <t>规格型号</t>
        </is>
      </c>
      <c r="D1" s="9" t="inlineStr">
        <is>
          <t>工单号</t>
        </is>
      </c>
      <c r="E1" s="9" t="inlineStr">
        <is>
          <t>库存数量</t>
        </is>
      </c>
      <c r="F1" s="9" t="inlineStr">
        <is>
          <t>单位</t>
        </is>
      </c>
      <c r="G1" s="9" t="inlineStr">
        <is>
          <t>库位</t>
        </is>
      </c>
      <c r="H1" s="9" t="inlineStr">
        <is>
          <t>入库日期</t>
        </is>
      </c>
      <c r="I1" s="10" t="inlineStr">
        <is>
          <t>入库数量</t>
        </is>
      </c>
      <c r="J1" s="10" t="inlineStr">
        <is>
          <t>备注</t>
        </is>
      </c>
      <c r="K1" s="10" t="inlineStr">
        <is>
          <t>出库数量1</t>
        </is>
      </c>
      <c r="L1" s="10" t="inlineStr">
        <is>
          <t>出库时间1</t>
        </is>
      </c>
      <c r="M1" s="10" t="inlineStr">
        <is>
          <t>领用人1</t>
        </is>
      </c>
      <c r="N1" s="10" t="inlineStr">
        <is>
          <t>出库数量2</t>
        </is>
      </c>
      <c r="O1" s="10" t="inlineStr">
        <is>
          <t>出库时间2</t>
        </is>
      </c>
      <c r="P1" s="10" t="inlineStr">
        <is>
          <t>领用人2</t>
        </is>
      </c>
      <c r="Q1" s="10" t="inlineStr">
        <is>
          <t>出库数量3</t>
        </is>
      </c>
      <c r="R1" s="10" t="inlineStr">
        <is>
          <t>出库时间3</t>
        </is>
      </c>
      <c r="S1" s="10" t="inlineStr">
        <is>
          <t>领用人3</t>
        </is>
      </c>
      <c r="T1" s="9" t="inlineStr">
        <is>
          <t>项目号</t>
        </is>
      </c>
      <c r="U1" s="9" t="inlineStr">
        <is>
          <t>生产抬头或供应商</t>
        </is>
      </c>
      <c r="V1" s="9" t="inlineStr">
        <is>
          <t>客户名称</t>
        </is>
      </c>
    </row>
    <row r="2" ht="15" customHeight="1">
      <c r="B2" s="11" t="inlineStr">
        <is>
          <t>三爪机械手触觉模块</t>
        </is>
      </c>
      <c r="C2" s="11" t="inlineStr">
        <is>
          <t xml:space="preserve"> RWS-P-FC-001</t>
        </is>
      </c>
      <c r="D2" s="11" t="n"/>
      <c r="E2" s="9" t="n">
        <v>0</v>
      </c>
      <c r="F2" s="9" t="inlineStr">
        <is>
          <t>套</t>
        </is>
      </c>
      <c r="G2" s="11" t="inlineStr">
        <is>
          <t>成品库位</t>
        </is>
      </c>
      <c r="H2" s="12" t="n">
        <v>46134</v>
      </c>
      <c r="I2" s="9" t="n">
        <v>57</v>
      </c>
      <c r="J2" s="9" t="n"/>
      <c r="K2" s="9" t="n">
        <v>57</v>
      </c>
      <c r="L2" s="13" t="n">
        <v>46134</v>
      </c>
      <c r="M2" s="11" t="inlineStr">
        <is>
          <t>朱红丽</t>
        </is>
      </c>
      <c r="N2" s="9" t="n"/>
      <c r="O2" s="9" t="n"/>
      <c r="P2" s="11" t="n"/>
      <c r="Q2" s="11" t="n"/>
      <c r="R2" s="11" t="n"/>
      <c r="S2" s="11" t="n"/>
      <c r="T2" s="11" t="n"/>
      <c r="U2" s="11" t="inlineStr">
        <is>
          <t>柔微超材料</t>
        </is>
      </c>
      <c r="V2" s="11" t="inlineStr">
        <is>
          <t>北京机科未来科技有限公司</t>
        </is>
      </c>
    </row>
    <row r="3" ht="15" customHeight="1">
      <c r="B3" s="11" t="inlineStr">
        <is>
          <t>三爪机械手触觉模块-单传感器</t>
        </is>
      </c>
      <c r="C3" s="11" t="inlineStr">
        <is>
          <t xml:space="preserve"> RWS-P-FC-001-单模块</t>
        </is>
      </c>
      <c r="D3" s="11" t="n"/>
      <c r="E3" s="9" t="n">
        <v>0</v>
      </c>
      <c r="F3" s="9" t="inlineStr">
        <is>
          <t>套</t>
        </is>
      </c>
      <c r="G3" s="11" t="inlineStr">
        <is>
          <t>成品库位</t>
        </is>
      </c>
      <c r="H3" s="12" t="n">
        <v>46134</v>
      </c>
      <c r="I3" s="9" t="n">
        <v>3</v>
      </c>
      <c r="J3" s="9" t="n"/>
      <c r="K3" s="9" t="n">
        <v>3</v>
      </c>
      <c r="L3" s="13" t="n">
        <v>46134</v>
      </c>
      <c r="M3" s="11" t="inlineStr">
        <is>
          <t>朱红丽</t>
        </is>
      </c>
      <c r="N3" s="9" t="n"/>
      <c r="O3" s="9" t="n"/>
      <c r="P3" s="11" t="n"/>
      <c r="Q3" s="11" t="n"/>
      <c r="R3" s="11" t="n"/>
      <c r="S3" s="11" t="n"/>
      <c r="T3" s="11" t="n"/>
      <c r="U3" s="11" t="inlineStr">
        <is>
          <t>柔微超材料</t>
        </is>
      </c>
      <c r="V3" s="11" t="inlineStr">
        <is>
          <t>北京机科未来科技有限公司</t>
        </is>
      </c>
    </row>
    <row r="4" ht="15" customHeight="1">
      <c r="B4" s="11" t="inlineStr">
        <is>
          <t>三爪机械手触觉模块</t>
        </is>
      </c>
      <c r="C4" s="11" t="inlineStr">
        <is>
          <t>RWS-P-FC-001 / 客退，结构做反</t>
        </is>
      </c>
      <c r="D4" s="11" t="n"/>
      <c r="E4" s="9">
        <f>I4-K4</f>
        <v/>
      </c>
      <c r="F4" s="9" t="inlineStr">
        <is>
          <t>套</t>
        </is>
      </c>
      <c r="G4" s="11" t="inlineStr">
        <is>
          <t>成品库位</t>
        </is>
      </c>
      <c r="H4" s="12" t="n">
        <v>46142</v>
      </c>
      <c r="I4" s="9" t="n">
        <v>57</v>
      </c>
      <c r="J4" s="9" t="n"/>
      <c r="K4" s="16" t="n">
        <v>57</v>
      </c>
      <c r="L4" s="15" t="n">
        <v>46151</v>
      </c>
      <c r="M4" s="11" t="inlineStr">
        <is>
          <t>朱红丽</t>
        </is>
      </c>
      <c r="N4" s="9" t="n"/>
      <c r="O4" s="9" t="n"/>
      <c r="P4" s="11" t="n"/>
      <c r="Q4" s="11" t="n"/>
      <c r="R4" s="11" t="n"/>
      <c r="S4" s="11" t="n"/>
      <c r="T4" s="11" t="n"/>
      <c r="U4" s="11" t="inlineStr">
        <is>
          <t>柔微超材料</t>
        </is>
      </c>
      <c r="V4" s="11" t="inlineStr">
        <is>
          <t>北京机科未来科技有限公司</t>
        </is>
      </c>
    </row>
    <row r="5" ht="14.35" customHeight="1">
      <c r="B5" s="11" t="inlineStr">
        <is>
          <t>三爪机械手触觉模块-单传感器</t>
        </is>
      </c>
      <c r="C5" s="11" t="inlineStr">
        <is>
          <t>RWS-P-FC-001-单模块 / 客退，结构做反</t>
        </is>
      </c>
      <c r="D5" s="11" t="n"/>
      <c r="E5" s="9" t="n">
        <v>3</v>
      </c>
      <c r="F5" s="9" t="inlineStr">
        <is>
          <t>套</t>
        </is>
      </c>
      <c r="G5" s="11" t="inlineStr">
        <is>
          <t>半成品成品库位</t>
        </is>
      </c>
      <c r="H5" s="12" t="n">
        <v>46142</v>
      </c>
      <c r="I5" s="9" t="n">
        <v>3</v>
      </c>
      <c r="J5" s="9" t="n"/>
      <c r="K5" s="9" t="n"/>
      <c r="L5" s="13" t="n"/>
      <c r="M5" s="11" t="n"/>
      <c r="N5" s="9" t="n"/>
      <c r="O5" s="9" t="n"/>
      <c r="P5" s="11" t="n"/>
      <c r="Q5" s="11" t="n"/>
      <c r="R5" s="11" t="n"/>
      <c r="S5" s="11" t="n"/>
      <c r="T5" s="11" t="n"/>
      <c r="U5" s="11" t="inlineStr">
        <is>
          <t>柔微超材料</t>
        </is>
      </c>
      <c r="V5" s="11" t="inlineStr">
        <is>
          <t>北京机科未来科技有限公司</t>
        </is>
      </c>
    </row>
    <row r="6" ht="14.35" customHeight="1">
      <c r="B6" s="11" t="inlineStr">
        <is>
          <t>三爪机械手触觉模块-单传感器</t>
        </is>
      </c>
      <c r="C6" s="11" t="inlineStr">
        <is>
          <t>RWS-P-FC-001-单模块 / 客退品拆下的传感器</t>
        </is>
      </c>
      <c r="D6" s="11" t="n"/>
      <c r="E6" s="9">
        <f>I6-K6</f>
        <v/>
      </c>
      <c r="F6" s="9" t="inlineStr">
        <is>
          <t>套</t>
        </is>
      </c>
      <c r="G6" s="11" t="inlineStr">
        <is>
          <t>半成品成品库位</t>
        </is>
      </c>
      <c r="H6" s="15" t="n">
        <v>46151</v>
      </c>
      <c r="I6" s="9" t="n">
        <v>57</v>
      </c>
      <c r="J6" s="9" t="n"/>
      <c r="K6" s="9" t="n"/>
      <c r="L6" s="15" t="n"/>
      <c r="M6" s="11" t="n"/>
      <c r="N6" s="9" t="n"/>
      <c r="O6" s="9" t="n"/>
      <c r="P6" s="11" t="n"/>
      <c r="Q6" s="11" t="n"/>
      <c r="R6" s="11" t="n"/>
      <c r="S6" s="11" t="n"/>
      <c r="T6" s="11" t="n"/>
      <c r="U6" s="11" t="inlineStr">
        <is>
          <t>柔微超材料</t>
        </is>
      </c>
      <c r="V6" s="11" t="inlineStr">
        <is>
          <t>北京机科未来科技有限公司</t>
        </is>
      </c>
    </row>
    <row r="7" ht="15" customHeight="1">
      <c r="B7" s="11" t="inlineStr">
        <is>
          <t>靠背侧翼左传感器</t>
        </is>
      </c>
      <c r="C7" s="11" t="inlineStr">
        <is>
          <t>RWS-P-BF-002 / E26030041</t>
        </is>
      </c>
      <c r="D7" s="11" t="n"/>
      <c r="E7" s="9" t="n">
        <v>0</v>
      </c>
      <c r="F7" s="9" t="inlineStr">
        <is>
          <t>套</t>
        </is>
      </c>
      <c r="G7" s="11" t="inlineStr">
        <is>
          <t>成品库位</t>
        </is>
      </c>
      <c r="H7" s="12" t="n">
        <v>46124</v>
      </c>
      <c r="I7" s="9" t="n">
        <v>15</v>
      </c>
      <c r="J7" s="9" t="n"/>
      <c r="K7" s="9" t="n">
        <v>15</v>
      </c>
      <c r="L7" s="12" t="n">
        <v>46124</v>
      </c>
      <c r="M7" s="11" t="inlineStr">
        <is>
          <t>朱红丽</t>
        </is>
      </c>
      <c r="N7" s="9" t="n"/>
      <c r="O7" s="9" t="n"/>
      <c r="P7" s="11" t="n"/>
      <c r="Q7" s="11" t="n"/>
      <c r="R7" s="11" t="n"/>
      <c r="S7" s="11" t="n"/>
      <c r="T7" s="11" t="n"/>
      <c r="U7" s="11" t="inlineStr">
        <is>
          <t>华景微纳</t>
        </is>
      </c>
      <c r="V7" s="11" t="inlineStr">
        <is>
          <t>上海舒井汽车系统科技有限公司</t>
        </is>
      </c>
    </row>
    <row r="8" ht="15" customHeight="1">
      <c r="B8" s="11" t="inlineStr">
        <is>
          <t>靠背侧翼右传感器</t>
        </is>
      </c>
      <c r="C8" s="11" t="inlineStr">
        <is>
          <t>RWS-P-BF-003 / E26030042</t>
        </is>
      </c>
      <c r="D8" s="11" t="n"/>
      <c r="E8" s="9" t="n">
        <v>0</v>
      </c>
      <c r="F8" s="9" t="inlineStr">
        <is>
          <t>套</t>
        </is>
      </c>
      <c r="G8" s="11" t="inlineStr">
        <is>
          <t>成品库位</t>
        </is>
      </c>
      <c r="H8" s="12" t="n">
        <v>46124</v>
      </c>
      <c r="I8" s="9" t="n">
        <v>15</v>
      </c>
      <c r="J8" s="9" t="n"/>
      <c r="K8" s="9" t="n">
        <v>15</v>
      </c>
      <c r="L8" s="12" t="n">
        <v>46124</v>
      </c>
      <c r="M8" s="11" t="inlineStr">
        <is>
          <t>朱红丽</t>
        </is>
      </c>
      <c r="N8" s="9" t="n"/>
      <c r="O8" s="9" t="n"/>
      <c r="P8" s="11" t="n"/>
      <c r="Q8" s="11" t="n"/>
      <c r="R8" s="11" t="n"/>
      <c r="S8" s="11" t="n"/>
      <c r="T8" s="11" t="n"/>
      <c r="U8" s="11" t="inlineStr">
        <is>
          <t>华景微纳</t>
        </is>
      </c>
      <c r="V8" s="11" t="inlineStr">
        <is>
          <t>上海舒井汽车系统科技有限公司</t>
        </is>
      </c>
    </row>
    <row r="9" ht="15" customHeight="1">
      <c r="B9" s="11" t="inlineStr">
        <is>
          <t>靠背腰托传感器</t>
        </is>
      </c>
      <c r="C9" s="11" t="inlineStr">
        <is>
          <t>RWS-P-BF-004 / E26030043</t>
        </is>
      </c>
      <c r="D9" s="11" t="n"/>
      <c r="E9" s="9" t="n">
        <v>0</v>
      </c>
      <c r="F9" s="9" t="inlineStr">
        <is>
          <t>套</t>
        </is>
      </c>
      <c r="G9" s="11" t="inlineStr">
        <is>
          <t>成品库位</t>
        </is>
      </c>
      <c r="H9" s="12" t="n">
        <v>46124</v>
      </c>
      <c r="I9" s="9" t="n">
        <v>15</v>
      </c>
      <c r="J9" s="9" t="n"/>
      <c r="K9" s="9" t="n">
        <v>15</v>
      </c>
      <c r="L9" s="12" t="n">
        <v>46124</v>
      </c>
      <c r="M9" s="11" t="inlineStr">
        <is>
          <t>朱红丽</t>
        </is>
      </c>
      <c r="N9" s="9" t="n"/>
      <c r="O9" s="9" t="n"/>
      <c r="P9" s="11" t="n"/>
      <c r="Q9" s="11" t="n"/>
      <c r="R9" s="11" t="n"/>
      <c r="S9" s="11" t="n"/>
      <c r="T9" s="11" t="n"/>
      <c r="U9" s="11" t="inlineStr">
        <is>
          <t>华景微纳</t>
        </is>
      </c>
      <c r="V9" s="11" t="inlineStr">
        <is>
          <t>上海舒井汽车系统科技有限公司</t>
        </is>
      </c>
    </row>
    <row r="10" ht="15" customHeight="1">
      <c r="B10" s="11" t="inlineStr">
        <is>
          <t>靠背侧翼左传感器</t>
        </is>
      </c>
      <c r="C10" s="11" t="inlineStr">
        <is>
          <t>RWS-P-BF-002 / E26030041</t>
        </is>
      </c>
      <c r="D10" s="11" t="n"/>
      <c r="E10" s="9" t="n">
        <v>0</v>
      </c>
      <c r="F10" s="9" t="inlineStr">
        <is>
          <t>套</t>
        </is>
      </c>
      <c r="G10" s="11" t="inlineStr">
        <is>
          <t>成品库位</t>
        </is>
      </c>
      <c r="H10" s="12" t="n">
        <v>46128</v>
      </c>
      <c r="I10" s="9" t="n">
        <v>256</v>
      </c>
      <c r="J10" s="9" t="n"/>
      <c r="K10" s="9" t="n">
        <v>254</v>
      </c>
      <c r="L10" s="12" t="n">
        <v>46128</v>
      </c>
      <c r="M10" s="11" t="inlineStr">
        <is>
          <t>朱红丽</t>
        </is>
      </c>
      <c r="N10" s="9" t="n">
        <v>2</v>
      </c>
      <c r="O10" s="9" t="n"/>
      <c r="P10" s="9" t="inlineStr">
        <is>
          <t>周俊</t>
        </is>
      </c>
      <c r="Q10" s="11" t="n"/>
      <c r="R10" s="11" t="n"/>
      <c r="S10" s="11" t="n"/>
      <c r="T10" s="11" t="n"/>
      <c r="U10" s="11" t="inlineStr">
        <is>
          <t>华景微纳</t>
        </is>
      </c>
      <c r="V10" s="11" t="inlineStr">
        <is>
          <t>上海舒井汽车系统科技有限公司</t>
        </is>
      </c>
    </row>
    <row r="11" ht="15" customHeight="1">
      <c r="B11" s="11" t="inlineStr">
        <is>
          <t>靠背侧翼右传感器</t>
        </is>
      </c>
      <c r="C11" s="11" t="inlineStr">
        <is>
          <t>RWS-P-BF-003 / E26030042</t>
        </is>
      </c>
      <c r="D11" s="11" t="n"/>
      <c r="E11" s="9" t="n">
        <v>0</v>
      </c>
      <c r="F11" s="9" t="inlineStr">
        <is>
          <t>套</t>
        </is>
      </c>
      <c r="G11" s="11" t="inlineStr">
        <is>
          <t>成品库位</t>
        </is>
      </c>
      <c r="H11" s="12" t="n">
        <v>46128</v>
      </c>
      <c r="I11" s="9" t="n">
        <v>233</v>
      </c>
      <c r="J11" s="9" t="n"/>
      <c r="K11" s="9" t="n">
        <v>231</v>
      </c>
      <c r="L11" s="12" t="n">
        <v>46128</v>
      </c>
      <c r="M11" s="11" t="inlineStr">
        <is>
          <t>朱红丽</t>
        </is>
      </c>
      <c r="N11" s="9" t="n">
        <v>2</v>
      </c>
      <c r="O11" s="9" t="n"/>
      <c r="P11" s="9" t="inlineStr">
        <is>
          <t>周俊</t>
        </is>
      </c>
      <c r="Q11" s="11" t="n"/>
      <c r="R11" s="11" t="n"/>
      <c r="S11" s="11" t="n"/>
      <c r="T11" s="11" t="n"/>
      <c r="U11" s="11" t="inlineStr">
        <is>
          <t>华景微纳</t>
        </is>
      </c>
      <c r="V11" s="11" t="inlineStr">
        <is>
          <t>上海舒井汽车系统科技有限公司</t>
        </is>
      </c>
    </row>
    <row r="12" ht="15" customHeight="1">
      <c r="B12" s="11" t="inlineStr">
        <is>
          <t>靠背腰托传感器</t>
        </is>
      </c>
      <c r="C12" s="11" t="inlineStr">
        <is>
          <t>RWS-P-BF-004 / E26030043</t>
        </is>
      </c>
      <c r="D12" s="11" t="n"/>
      <c r="E12" s="9" t="n">
        <v>0</v>
      </c>
      <c r="F12" s="9" t="inlineStr">
        <is>
          <t>套</t>
        </is>
      </c>
      <c r="G12" s="11" t="inlineStr">
        <is>
          <t>成品库位</t>
        </is>
      </c>
      <c r="H12" s="12" t="n">
        <v>46128</v>
      </c>
      <c r="I12" s="9" t="n">
        <v>228</v>
      </c>
      <c r="J12" s="9" t="n"/>
      <c r="K12" s="9" t="n">
        <v>226</v>
      </c>
      <c r="L12" s="12" t="n">
        <v>46128</v>
      </c>
      <c r="M12" s="11" t="inlineStr">
        <is>
          <t>朱红丽</t>
        </is>
      </c>
      <c r="N12" s="9" t="n">
        <v>2</v>
      </c>
      <c r="O12" s="9" t="n"/>
      <c r="P12" s="9" t="inlineStr">
        <is>
          <t>周俊</t>
        </is>
      </c>
      <c r="Q12" s="11" t="n"/>
      <c r="R12" s="11" t="n"/>
      <c r="S12" s="11" t="n"/>
      <c r="T12" s="11" t="n"/>
      <c r="U12" s="11" t="inlineStr">
        <is>
          <t>华景微纳</t>
        </is>
      </c>
      <c r="V12" s="11" t="inlineStr">
        <is>
          <t>上海舒井汽车系统科技有限公司</t>
        </is>
      </c>
    </row>
    <row r="13" ht="15" customHeight="1">
      <c r="B13" s="11" t="inlineStr">
        <is>
          <t>靠背侧翼左传感器</t>
        </is>
      </c>
      <c r="C13" s="11" t="inlineStr">
        <is>
          <t>RWS-P-BF-002 / E26030041</t>
        </is>
      </c>
      <c r="D13" s="11" t="n"/>
      <c r="E13" s="9" t="n">
        <v>0</v>
      </c>
      <c r="F13" s="9" t="inlineStr">
        <is>
          <t>套</t>
        </is>
      </c>
      <c r="G13" s="11" t="inlineStr">
        <is>
          <t>成品库位</t>
        </is>
      </c>
      <c r="H13" s="12" t="n">
        <v>46132</v>
      </c>
      <c r="I13" s="9" t="n">
        <v>31</v>
      </c>
      <c r="J13" s="9" t="n"/>
      <c r="K13" s="9" t="n">
        <v>31</v>
      </c>
      <c r="L13" s="12" t="n">
        <v>46132</v>
      </c>
      <c r="M13" s="11" t="inlineStr">
        <is>
          <t>朱红丽</t>
        </is>
      </c>
      <c r="N13" s="9" t="n"/>
      <c r="O13" s="9" t="n"/>
      <c r="P13" s="11" t="n"/>
      <c r="Q13" s="11" t="n"/>
      <c r="R13" s="11" t="n"/>
      <c r="S13" s="11" t="n"/>
      <c r="T13" s="11" t="n"/>
      <c r="U13" s="11" t="inlineStr">
        <is>
          <t>华景微纳</t>
        </is>
      </c>
      <c r="V13" s="11" t="inlineStr">
        <is>
          <t>上海舒井汽车系统科技有限公司</t>
        </is>
      </c>
    </row>
    <row r="14" ht="15" customHeight="1">
      <c r="B14" s="11" t="inlineStr">
        <is>
          <t>靠背侧翼右传感器</t>
        </is>
      </c>
      <c r="C14" s="11" t="inlineStr">
        <is>
          <t>RWS-P-BF-003 / E26030042</t>
        </is>
      </c>
      <c r="D14" s="11" t="n"/>
      <c r="E14" s="9" t="n">
        <v>1</v>
      </c>
      <c r="F14" s="9" t="inlineStr">
        <is>
          <t>套</t>
        </is>
      </c>
      <c r="G14" s="11" t="inlineStr">
        <is>
          <t>成品库位</t>
        </is>
      </c>
      <c r="H14" s="12" t="n">
        <v>46132</v>
      </c>
      <c r="I14" s="9" t="n">
        <v>51</v>
      </c>
      <c r="J14" s="9" t="n"/>
      <c r="K14" s="9" t="n">
        <v>50</v>
      </c>
      <c r="L14" s="12" t="n">
        <v>46132</v>
      </c>
      <c r="M14" s="11" t="inlineStr">
        <is>
          <t>朱红丽</t>
        </is>
      </c>
      <c r="N14" s="9" t="n"/>
      <c r="O14" s="9" t="n"/>
      <c r="P14" s="11" t="n"/>
      <c r="Q14" s="11" t="n"/>
      <c r="R14" s="11" t="n"/>
      <c r="S14" s="11" t="n"/>
      <c r="T14" s="11" t="n"/>
      <c r="U14" s="11" t="inlineStr">
        <is>
          <t>华景微纳</t>
        </is>
      </c>
      <c r="V14" s="11" t="inlineStr">
        <is>
          <t>上海舒井汽车系统科技有限公司</t>
        </is>
      </c>
    </row>
    <row r="15" ht="15" customHeight="1">
      <c r="B15" s="11" t="inlineStr">
        <is>
          <t>靠背腰托传感器</t>
        </is>
      </c>
      <c r="C15" s="11" t="inlineStr">
        <is>
          <t>RWS-P-BF-004 / E26030043</t>
        </is>
      </c>
      <c r="D15" s="11" t="n"/>
      <c r="E15" s="9" t="n">
        <v>0</v>
      </c>
      <c r="F15" s="9" t="inlineStr">
        <is>
          <t>套</t>
        </is>
      </c>
      <c r="G15" s="11" t="inlineStr">
        <is>
          <t>成品库位</t>
        </is>
      </c>
      <c r="H15" s="12" t="n">
        <v>46132</v>
      </c>
      <c r="I15" s="9" t="n">
        <v>55</v>
      </c>
      <c r="J15" s="9" t="n"/>
      <c r="K15" s="9" t="n">
        <v>55</v>
      </c>
      <c r="L15" s="12" t="n">
        <v>46132</v>
      </c>
      <c r="M15" s="11" t="inlineStr">
        <is>
          <t>朱红丽</t>
        </is>
      </c>
      <c r="N15" s="9" t="n"/>
      <c r="O15" s="9" t="n"/>
      <c r="P15" s="11" t="n"/>
      <c r="Q15" s="11" t="n"/>
      <c r="R15" s="11" t="n"/>
      <c r="S15" s="11" t="n"/>
      <c r="T15" s="11" t="n"/>
      <c r="U15" s="11" t="inlineStr">
        <is>
          <t>华景微纳</t>
        </is>
      </c>
      <c r="V15" s="11" t="inlineStr">
        <is>
          <t>上海舒井汽车系统科技有限公司</t>
        </is>
      </c>
    </row>
    <row r="16" ht="15" customHeight="1">
      <c r="B16" s="11" t="inlineStr">
        <is>
          <t>靠背侧翼左传感器</t>
        </is>
      </c>
      <c r="C16" s="11" t="inlineStr">
        <is>
          <t>RWS-P-BF-002 / E26030041</t>
        </is>
      </c>
      <c r="D16" s="11" t="n"/>
      <c r="E16" s="9" t="n">
        <v>1</v>
      </c>
      <c r="F16" s="9" t="inlineStr">
        <is>
          <t>套</t>
        </is>
      </c>
      <c r="G16" s="11" t="inlineStr">
        <is>
          <t>成品库位</t>
        </is>
      </c>
      <c r="H16" s="12" t="n">
        <v>46140</v>
      </c>
      <c r="I16" s="9" t="n">
        <v>3</v>
      </c>
      <c r="J16" s="9" t="n"/>
      <c r="K16" s="9" t="n">
        <v>1</v>
      </c>
      <c r="L16" s="12" t="n">
        <v>46141</v>
      </c>
      <c r="M16" s="11" t="inlineStr">
        <is>
          <t>周俊</t>
        </is>
      </c>
      <c r="N16" s="9" t="n">
        <v>1</v>
      </c>
      <c r="O16" s="9" t="n"/>
      <c r="P16" s="9" t="inlineStr">
        <is>
          <t>朱红飞</t>
        </is>
      </c>
      <c r="Q16" s="11" t="n"/>
      <c r="R16" s="11" t="n"/>
      <c r="S16" s="11" t="n"/>
      <c r="T16" s="11" t="n"/>
      <c r="U16" s="11" t="inlineStr">
        <is>
          <t>华景微纳</t>
        </is>
      </c>
      <c r="V16" s="11" t="inlineStr">
        <is>
          <t>上海舒井汽车系统科技有限公司</t>
        </is>
      </c>
    </row>
    <row r="17" ht="15" customHeight="1">
      <c r="B17" s="11" t="inlineStr">
        <is>
          <t>靠背侧翼右传感器</t>
        </is>
      </c>
      <c r="C17" s="11" t="inlineStr">
        <is>
          <t>RWS-P-BF-003 / E26030042</t>
        </is>
      </c>
      <c r="D17" s="11" t="n"/>
      <c r="E17" s="9" t="n">
        <v>1</v>
      </c>
      <c r="F17" s="9" t="inlineStr">
        <is>
          <t>套</t>
        </is>
      </c>
      <c r="G17" s="11" t="inlineStr">
        <is>
          <t>成品库位</t>
        </is>
      </c>
      <c r="H17" s="12" t="n">
        <v>46140</v>
      </c>
      <c r="I17" s="9" t="n">
        <v>3</v>
      </c>
      <c r="J17" s="9" t="n"/>
      <c r="K17" s="9" t="n">
        <v>1</v>
      </c>
      <c r="L17" s="12" t="n">
        <v>46141</v>
      </c>
      <c r="M17" s="11" t="inlineStr">
        <is>
          <t>周俊</t>
        </is>
      </c>
      <c r="N17" s="9" t="n">
        <v>1</v>
      </c>
      <c r="O17" s="9" t="n"/>
      <c r="P17" s="9" t="inlineStr">
        <is>
          <t>朱红飞</t>
        </is>
      </c>
      <c r="Q17" s="11" t="n"/>
      <c r="R17" s="11" t="n"/>
      <c r="S17" s="11" t="n"/>
      <c r="T17" s="11" t="n"/>
      <c r="U17" s="11" t="inlineStr">
        <is>
          <t>华景微纳</t>
        </is>
      </c>
      <c r="V17" s="11" t="inlineStr">
        <is>
          <t>上海舒井汽车系统科技有限公司</t>
        </is>
      </c>
    </row>
    <row r="18" ht="15" customHeight="1">
      <c r="B18" s="11" t="inlineStr">
        <is>
          <t>靠背腰托传感器</t>
        </is>
      </c>
      <c r="C18" s="11" t="inlineStr">
        <is>
          <t>RWS-P-BF-004 / E26030043</t>
        </is>
      </c>
      <c r="D18" s="11" t="n"/>
      <c r="E18" s="9" t="n">
        <v>1</v>
      </c>
      <c r="F18" s="9" t="inlineStr">
        <is>
          <t>套</t>
        </is>
      </c>
      <c r="G18" s="11" t="inlineStr">
        <is>
          <t>成品库位</t>
        </is>
      </c>
      <c r="H18" s="12" t="n">
        <v>46140</v>
      </c>
      <c r="I18" s="9" t="n">
        <v>3</v>
      </c>
      <c r="J18" s="9" t="n"/>
      <c r="K18" s="9" t="n">
        <v>1</v>
      </c>
      <c r="L18" s="12" t="n">
        <v>46141</v>
      </c>
      <c r="M18" s="11" t="inlineStr">
        <is>
          <t>周俊</t>
        </is>
      </c>
      <c r="N18" s="9" t="n">
        <v>1</v>
      </c>
      <c r="O18" s="9" t="n"/>
      <c r="P18" s="9" t="inlineStr">
        <is>
          <t>朱红飞</t>
        </is>
      </c>
      <c r="Q18" s="11" t="n"/>
      <c r="R18" s="11" t="n"/>
      <c r="S18" s="11" t="n"/>
      <c r="T18" s="11" t="n"/>
      <c r="U18" s="11" t="inlineStr">
        <is>
          <t>华景微纳</t>
        </is>
      </c>
      <c r="V18" s="11" t="inlineStr">
        <is>
          <t>上海舒井汽车系统科技有限公司</t>
        </is>
      </c>
    </row>
    <row r="19" ht="15" customHeight="1">
      <c r="B19" s="11" t="inlineStr">
        <is>
          <t>薄膜压力传感器</t>
        </is>
      </c>
      <c r="C19" s="11" t="inlineStr">
        <is>
          <t>Y-RW-LBI-S80/300*103mm</t>
        </is>
      </c>
      <c r="D19" s="11" t="n"/>
      <c r="E19" s="9" t="n">
        <v>0</v>
      </c>
      <c r="F19" s="9" t="inlineStr">
        <is>
          <t>片</t>
        </is>
      </c>
      <c r="G19" s="11" t="inlineStr">
        <is>
          <t>成品库位</t>
        </is>
      </c>
      <c r="H19" s="12" t="n">
        <v>46142</v>
      </c>
      <c r="I19" s="9" t="n">
        <v>1</v>
      </c>
      <c r="J19" s="9" t="n"/>
      <c r="K19" s="9" t="n">
        <v>1</v>
      </c>
      <c r="L19" s="14" t="n">
        <v>46150</v>
      </c>
      <c r="M19" s="11" t="inlineStr">
        <is>
          <t>朱红丽</t>
        </is>
      </c>
      <c r="N19" s="9" t="n"/>
      <c r="O19" s="9" t="n"/>
      <c r="P19" s="9" t="n"/>
      <c r="Q19" s="11" t="n"/>
      <c r="R19" s="11" t="n"/>
      <c r="S19" s="11" t="n"/>
      <c r="T19" s="11" t="n"/>
      <c r="U19" s="11" t="inlineStr">
        <is>
          <t>柔微超材料</t>
        </is>
      </c>
      <c r="V19" s="11" t="inlineStr">
        <is>
          <t>合肥卓旭电子科技有限公司</t>
        </is>
      </c>
    </row>
    <row r="20" ht="15" customHeight="1">
      <c r="B20" s="11" t="inlineStr">
        <is>
          <t>中间传感器PI膜敏感层</t>
        </is>
      </c>
      <c r="C20" s="11" t="inlineStr">
        <is>
          <t>SBE25009(SJ)</t>
        </is>
      </c>
      <c r="D20" s="17" t="n"/>
      <c r="E20" s="9">
        <f>I20-K20-N20</f>
        <v/>
      </c>
      <c r="F20" s="9" t="inlineStr">
        <is>
          <t>片</t>
        </is>
      </c>
      <c r="G20" s="11" t="inlineStr">
        <is>
          <t>半成品成品库位</t>
        </is>
      </c>
      <c r="H20" s="15" t="n">
        <v>46149</v>
      </c>
      <c r="I20" s="9" t="n">
        <v>65</v>
      </c>
      <c r="J20" s="17" t="n"/>
      <c r="K20" s="9" t="n">
        <v>50</v>
      </c>
      <c r="L20" s="15" t="n">
        <v>46149</v>
      </c>
      <c r="M20" s="11" t="inlineStr">
        <is>
          <t>朱红丽</t>
        </is>
      </c>
      <c r="N20" s="9" t="n">
        <v>3</v>
      </c>
      <c r="O20" s="15" t="n">
        <v>46151</v>
      </c>
      <c r="P20" s="9" t="inlineStr">
        <is>
          <t>唐琳琳</t>
        </is>
      </c>
      <c r="Q20" s="17" t="n"/>
      <c r="R20" s="17" t="n"/>
      <c r="S20" s="17" t="n"/>
      <c r="T20" s="17" t="n"/>
      <c r="U20" s="11" t="inlineStr">
        <is>
          <t>自制</t>
        </is>
      </c>
      <c r="V20" s="11" t="inlineStr">
        <is>
          <t>华景</t>
        </is>
      </c>
    </row>
    <row r="21" ht="15" customHeight="1">
      <c r="B21" s="11" t="inlineStr">
        <is>
          <t>左传感器PET膜印刷</t>
        </is>
      </c>
      <c r="C21" s="11" t="inlineStr">
        <is>
          <t>SBE25009(左)</t>
        </is>
      </c>
      <c r="D21" s="17" t="n"/>
      <c r="E21" s="9">
        <f>I21-K21-N21</f>
        <v/>
      </c>
      <c r="F21" s="9" t="inlineStr">
        <is>
          <t>片</t>
        </is>
      </c>
      <c r="G21" s="11" t="inlineStr">
        <is>
          <t>半成品成品库位</t>
        </is>
      </c>
      <c r="H21" s="15" t="n">
        <v>46149</v>
      </c>
      <c r="I21" s="9" t="n">
        <v>65</v>
      </c>
      <c r="J21" s="17" t="n"/>
      <c r="K21" s="9" t="n">
        <v>50</v>
      </c>
      <c r="L21" s="15" t="n">
        <v>46149</v>
      </c>
      <c r="M21" s="11" t="inlineStr">
        <is>
          <t>朱红丽</t>
        </is>
      </c>
      <c r="N21" s="9" t="n">
        <v>8</v>
      </c>
      <c r="O21" s="15" t="n">
        <v>46151</v>
      </c>
      <c r="P21" s="9" t="inlineStr">
        <is>
          <t>唐琳琳</t>
        </is>
      </c>
      <c r="Q21" s="17" t="n"/>
      <c r="R21" s="17" t="n"/>
      <c r="S21" s="17" t="n"/>
      <c r="T21" s="17" t="n"/>
      <c r="U21" s="11" t="inlineStr">
        <is>
          <t>自制</t>
        </is>
      </c>
      <c r="V21" s="11" t="inlineStr">
        <is>
          <t>华景</t>
        </is>
      </c>
    </row>
    <row r="22" ht="15" customHeight="1">
      <c r="B22" s="11" t="inlineStr">
        <is>
          <t>中间传感器PET膜印刷</t>
        </is>
      </c>
      <c r="C22" s="11" t="inlineStr">
        <is>
          <t>SBE25009(SJ)中间</t>
        </is>
      </c>
      <c r="D22" s="17" t="n"/>
      <c r="E22" s="9">
        <f>I22-K22-N22</f>
        <v/>
      </c>
      <c r="F22" s="9" t="inlineStr">
        <is>
          <t>片</t>
        </is>
      </c>
      <c r="G22" s="11" t="inlineStr">
        <is>
          <t>半成品成品库位</t>
        </is>
      </c>
      <c r="H22" s="15" t="n">
        <v>46149</v>
      </c>
      <c r="I22" s="9" t="n">
        <v>66</v>
      </c>
      <c r="J22" s="17" t="n"/>
      <c r="K22" s="9" t="n">
        <v>50</v>
      </c>
      <c r="L22" s="15" t="n">
        <v>46149</v>
      </c>
      <c r="M22" s="11" t="inlineStr">
        <is>
          <t>朱红丽</t>
        </is>
      </c>
      <c r="N22" s="9" t="n">
        <v>1</v>
      </c>
      <c r="O22" s="15" t="n">
        <v>46151</v>
      </c>
      <c r="P22" s="9" t="inlineStr">
        <is>
          <t>唐琳琳</t>
        </is>
      </c>
      <c r="Q22" s="17" t="n"/>
      <c r="R22" s="17" t="n"/>
      <c r="S22" s="17" t="n"/>
      <c r="T22" s="17" t="n"/>
      <c r="U22" s="11" t="inlineStr">
        <is>
          <t>自制</t>
        </is>
      </c>
      <c r="V22" s="11" t="inlineStr">
        <is>
          <t>华景</t>
        </is>
      </c>
    </row>
    <row r="23" ht="15" customHeight="1">
      <c r="B23" s="11" t="inlineStr">
        <is>
          <t>右传感器PET膜印刷</t>
        </is>
      </c>
      <c r="C23" s="11" t="inlineStr">
        <is>
          <t>SBE25009(右)</t>
        </is>
      </c>
      <c r="D23" s="17" t="n"/>
      <c r="E23" s="9">
        <f>I23-K23-N23</f>
        <v/>
      </c>
      <c r="F23" s="9" t="inlineStr">
        <is>
          <t>片</t>
        </is>
      </c>
      <c r="G23" s="11" t="inlineStr">
        <is>
          <t>半成品成品库位</t>
        </is>
      </c>
      <c r="H23" s="15" t="n">
        <v>46149</v>
      </c>
      <c r="I23" s="9" t="n">
        <v>65</v>
      </c>
      <c r="J23" s="17" t="n"/>
      <c r="K23" s="9" t="n">
        <v>50</v>
      </c>
      <c r="L23" s="15" t="n">
        <v>46149</v>
      </c>
      <c r="M23" s="11" t="inlineStr">
        <is>
          <t>朱红丽</t>
        </is>
      </c>
      <c r="N23" s="9" t="n">
        <v>1</v>
      </c>
      <c r="O23" s="15" t="n">
        <v>46151</v>
      </c>
      <c r="P23" s="9" t="inlineStr">
        <is>
          <t>唐琳琳</t>
        </is>
      </c>
      <c r="Q23" s="17" t="n"/>
      <c r="R23" s="17" t="n"/>
      <c r="S23" s="17" t="n"/>
      <c r="T23" s="17" t="n"/>
      <c r="U23" s="11" t="inlineStr">
        <is>
          <t>自制</t>
        </is>
      </c>
      <c r="V23" s="11" t="inlineStr">
        <is>
          <t>华景</t>
        </is>
      </c>
    </row>
    <row r="24" ht="15" customHeight="1">
      <c r="B24" s="11" t="inlineStr">
        <is>
          <t>左传感器PI膜敏感层</t>
        </is>
      </c>
      <c r="C24" s="11" t="inlineStr">
        <is>
          <t>SBE25009(左)</t>
        </is>
      </c>
      <c r="D24" s="17" t="n"/>
      <c r="E24" s="9">
        <f>I24-K24-N24</f>
        <v/>
      </c>
      <c r="F24" s="9" t="inlineStr">
        <is>
          <t>片</t>
        </is>
      </c>
      <c r="G24" s="11" t="inlineStr">
        <is>
          <t>半成品成品库位</t>
        </is>
      </c>
      <c r="H24" s="15" t="n">
        <v>46150</v>
      </c>
      <c r="I24" s="9" t="n">
        <v>65</v>
      </c>
      <c r="J24" s="17" t="n"/>
      <c r="K24" s="9" t="n">
        <v>50</v>
      </c>
      <c r="L24" s="15" t="n">
        <v>46150</v>
      </c>
      <c r="M24" s="11" t="inlineStr">
        <is>
          <t>朱红丽</t>
        </is>
      </c>
      <c r="N24" s="9" t="n"/>
      <c r="O24" s="15" t="n"/>
      <c r="P24" s="9" t="n"/>
      <c r="Q24" s="17" t="n"/>
      <c r="R24" s="17" t="n"/>
      <c r="S24" s="17" t="n"/>
      <c r="T24" s="17" t="n"/>
      <c r="U24" s="11" t="inlineStr">
        <is>
          <t>自制</t>
        </is>
      </c>
      <c r="V24" s="11" t="inlineStr">
        <is>
          <t>华景</t>
        </is>
      </c>
    </row>
    <row r="25" ht="15" customHeight="1">
      <c r="B25" s="11" t="inlineStr">
        <is>
          <t>右传感器PI膜敏感层</t>
        </is>
      </c>
      <c r="C25" s="11" t="inlineStr">
        <is>
          <t>SBE25009(右)</t>
        </is>
      </c>
      <c r="D25" s="17" t="n"/>
      <c r="E25" s="9">
        <f>I25-K25</f>
        <v/>
      </c>
      <c r="F25" s="9" t="inlineStr">
        <is>
          <t>片</t>
        </is>
      </c>
      <c r="G25" s="11" t="inlineStr">
        <is>
          <t>半成品成品库位</t>
        </is>
      </c>
      <c r="H25" s="15" t="n">
        <v>46150</v>
      </c>
      <c r="I25" s="9" t="n">
        <v>61</v>
      </c>
      <c r="J25" s="17" t="n"/>
      <c r="K25" s="9" t="n">
        <v>50</v>
      </c>
      <c r="L25" s="15" t="n">
        <v>46150</v>
      </c>
      <c r="M25" s="11" t="inlineStr">
        <is>
          <t>朱红丽</t>
        </is>
      </c>
      <c r="N25" s="17" t="n"/>
      <c r="O25" s="17" t="n"/>
      <c r="P25" s="17" t="n"/>
      <c r="Q25" s="17" t="n"/>
      <c r="R25" s="17" t="n"/>
      <c r="S25" s="17" t="n"/>
      <c r="T25" s="17" t="n"/>
      <c r="U25" s="11" t="inlineStr">
        <is>
          <t>自制</t>
        </is>
      </c>
      <c r="V25" s="11" t="inlineStr">
        <is>
          <t>华景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wangyun</dc:creator>
  <dcterms:created xsi:type="dcterms:W3CDTF">2015-06-05T18:19:34Z</dcterms:created>
  <dcterms:modified xsi:type="dcterms:W3CDTF">2026-05-17T05:40:44Z</dcterms:modified>
  <cp:lastModifiedBy>liyienhao@qq.com</cp:lastModifiedBy>
</cp:coreProperties>
</file>