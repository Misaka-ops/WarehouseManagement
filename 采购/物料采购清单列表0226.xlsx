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30"/>
  </bookViews>
  <sheets>
    <sheet name="Sheet1" sheetId="1" r:id="rId1"/>
    <sheet name="佳时坤" sheetId="3" r:id="rId2"/>
    <sheet name="Sheet2" sheetId="2" r:id="rId3"/>
  </sheets>
  <externalReferences>
    <externalReference r:id="rId5"/>
  </externalReferences>
  <definedNames>
    <definedName name="_xlnm._FilterDatabase" localSheetId="0" hidden="1">Sheet1!$A$2:$V$1376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<sst xmlns="http://schemas.openxmlformats.org/spreadsheetml/2006/main" count="9687" uniqueCount="2238">
  <si>
    <t>有项目的填写，无项目的空白</t>
  </si>
  <si>
    <t>智能或超材料</t>
  </si>
  <si>
    <t>序号</t>
  </si>
  <si>
    <t>请购人</t>
  </si>
  <si>
    <t>请购类别</t>
  </si>
  <si>
    <t>项目</t>
  </si>
  <si>
    <t>交易方</t>
  </si>
  <si>
    <t>物料名称</t>
  </si>
  <si>
    <t>规格型号</t>
  </si>
  <si>
    <t xml:space="preserve">需求数量 </t>
  </si>
  <si>
    <t>单位</t>
  </si>
  <si>
    <t>需求日期</t>
  </si>
  <si>
    <t>含税单价</t>
  </si>
  <si>
    <t>税率</t>
  </si>
  <si>
    <t>总价</t>
  </si>
  <si>
    <t>供应商名称</t>
  </si>
  <si>
    <t>合同日期</t>
  </si>
  <si>
    <t>合同编号</t>
  </si>
  <si>
    <t>账期</t>
  </si>
  <si>
    <t>到货日期</t>
  </si>
  <si>
    <t>是否收到发票</t>
  </si>
  <si>
    <t>预计付款日期</t>
  </si>
  <si>
    <t>付款日期</t>
  </si>
  <si>
    <t>淘宝价格</t>
  </si>
  <si>
    <t>材料</t>
  </si>
  <si>
    <t>智能</t>
  </si>
  <si>
    <t>ZigBee 模块</t>
  </si>
  <si>
    <t>AW5161P0EF</t>
  </si>
  <si>
    <t>块</t>
  </si>
  <si>
    <t>广州致远电子有限公司</t>
  </si>
  <si>
    <t>ZY-XS-190708-070</t>
  </si>
  <si>
    <t>已完成</t>
  </si>
  <si>
    <t>银浆</t>
  </si>
  <si>
    <t>HFSP-44</t>
  </si>
  <si>
    <t>克</t>
  </si>
  <si>
    <t>宁波柔印电子科技有限责任公司</t>
  </si>
  <si>
    <t>2019071502</t>
  </si>
  <si>
    <t>ZY-XS-191121-051</t>
  </si>
  <si>
    <t>液晶间隔物</t>
  </si>
  <si>
    <t>HT100</t>
  </si>
  <si>
    <t>苏州纳微科技股份有限公司</t>
  </si>
  <si>
    <t>20030235</t>
  </si>
  <si>
    <t>GD100</t>
  </si>
  <si>
    <t>Si 100</t>
  </si>
  <si>
    <t>20030252</t>
  </si>
  <si>
    <t>印刷电极</t>
  </si>
  <si>
    <t>套</t>
  </si>
  <si>
    <t xml:space="preserve">20200512PEJWB </t>
  </si>
  <si>
    <t>打样费/网版费</t>
  </si>
  <si>
    <t>20200521PEJWB</t>
  </si>
  <si>
    <t>碳纳米管薄膜</t>
  </si>
  <si>
    <t>强度100MPA左右</t>
  </si>
  <si>
    <t>平米</t>
  </si>
  <si>
    <t>无锡远稳烯科技有限公司</t>
  </si>
  <si>
    <t>PET</t>
  </si>
  <si>
    <t>20200622PEJWB</t>
  </si>
  <si>
    <t>4-硝基苯甲酸丁酯</t>
  </si>
  <si>
    <t>CAS：120-48-9 纯度98%</t>
  </si>
  <si>
    <t>KG</t>
  </si>
  <si>
    <t>邹平三好化工有限公司</t>
  </si>
  <si>
    <t>SH-20200721</t>
  </si>
  <si>
    <t>印刷线路-叠盘机</t>
  </si>
  <si>
    <t>张</t>
  </si>
  <si>
    <t>20200920PEJWB</t>
  </si>
  <si>
    <t>印刷电极电路</t>
  </si>
  <si>
    <t>PET125um</t>
  </si>
  <si>
    <t>苏州纳格光电科技有限公司</t>
  </si>
  <si>
    <t>20201009PEJWB</t>
  </si>
  <si>
    <t>20201009DPJJWB</t>
  </si>
  <si>
    <t>20201017PEJWB</t>
  </si>
  <si>
    <t>20201020PEJWB</t>
  </si>
  <si>
    <t>传感器电极</t>
  </si>
  <si>
    <t>A1/B1 PET 188um</t>
  </si>
  <si>
    <t>苏州创印电子科技有限公司</t>
  </si>
  <si>
    <t>20211111PEJWB</t>
  </si>
  <si>
    <t>聚</t>
  </si>
  <si>
    <t>杭州奥得科技有限公司</t>
  </si>
  <si>
    <t>AD20211120-C032</t>
  </si>
  <si>
    <t>双萘并</t>
  </si>
  <si>
    <t>升华纯</t>
  </si>
  <si>
    <t>二氢</t>
  </si>
  <si>
    <t>智能地毯</t>
  </si>
  <si>
    <t>V2.0 PET 188um</t>
  </si>
  <si>
    <t>20211220PEJWB</t>
  </si>
  <si>
    <t>网版费</t>
  </si>
  <si>
    <t>脉搏电极</t>
  </si>
  <si>
    <t>V1.0 PET 50um</t>
  </si>
  <si>
    <t>20211223PEJWB</t>
  </si>
  <si>
    <t>20220209PEJWB</t>
  </si>
  <si>
    <t>AD20220406-C025</t>
  </si>
  <si>
    <t>CY-44 线路银浆</t>
  </si>
  <si>
    <t>公斤</t>
  </si>
  <si>
    <t>20221110PEJWB</t>
  </si>
  <si>
    <t>不打孔TPU12</t>
  </si>
  <si>
    <t>1900*1250*0.7mm 白色</t>
  </si>
  <si>
    <t>苏州申赛新材料有限公司</t>
  </si>
  <si>
    <t>U-XS-20221202-02</t>
  </si>
  <si>
    <t>1900*1250*1mm 白色</t>
  </si>
  <si>
    <t>黑丝导电胶膜TD301-03B</t>
  </si>
  <si>
    <t>1070CM</t>
  </si>
  <si>
    <t>平方</t>
  </si>
  <si>
    <t>安徽和和新材料有限公司</t>
  </si>
  <si>
    <t>HHRZ20221219</t>
  </si>
  <si>
    <t>阻燃 MPP15</t>
  </si>
  <si>
    <t>500*500*5</t>
  </si>
  <si>
    <t>江苏中科聚合新材料产业技术研究院有限公司</t>
  </si>
  <si>
    <t>ZKXS220069</t>
  </si>
  <si>
    <t>常州福源科技新材料有限公司</t>
  </si>
  <si>
    <t>芯片</t>
  </si>
  <si>
    <t>个</t>
  </si>
  <si>
    <t>深圳市立创电子商务有限公司</t>
  </si>
  <si>
    <t>SO23020812241</t>
  </si>
  <si>
    <t>20230215003PEJWB</t>
  </si>
  <si>
    <t>10K 1% 3950 1%漆包线芯片</t>
  </si>
  <si>
    <t>尺寸 0.74*0.74*0.27</t>
  </si>
  <si>
    <t>江苏宇飞特电子科技有限公司</t>
  </si>
  <si>
    <t>钙钛矿前驱材料</t>
  </si>
  <si>
    <t xml:space="preserve">PAPI </t>
  </si>
  <si>
    <t>苏州芬尼根光伏科技有限公司</t>
  </si>
  <si>
    <t>RW2023120101</t>
  </si>
  <si>
    <t>液氮</t>
  </si>
  <si>
    <t>10L/瓶</t>
  </si>
  <si>
    <t>金宏气体股份有限公司吴中分公司</t>
  </si>
  <si>
    <t>送货费</t>
  </si>
  <si>
    <t>次</t>
  </si>
  <si>
    <t>LTC3265EDHC# PBF</t>
  </si>
  <si>
    <t>ADI DFN-18</t>
  </si>
  <si>
    <t>深圳明嘉瑞科技有限公司</t>
  </si>
  <si>
    <t>XCSO2405280230</t>
  </si>
  <si>
    <t>超材料</t>
  </si>
  <si>
    <t>碳材料</t>
  </si>
  <si>
    <t>平方米</t>
  </si>
  <si>
    <t>永亮金刚石材料科技无锡有限公司</t>
  </si>
  <si>
    <t xml:space="preserve">LTC2326IMS-16#PBF </t>
  </si>
  <si>
    <t>ADI MSOP-16</t>
  </si>
  <si>
    <t>XCSO2407050225</t>
  </si>
  <si>
    <t>LT1961EMS8E#PBF</t>
  </si>
  <si>
    <t>ADI MSOP-8</t>
  </si>
  <si>
    <t>LTC3265EDHC#PBF</t>
  </si>
  <si>
    <t>吸音尖劈海绵</t>
  </si>
  <si>
    <t>200*200*200</t>
  </si>
  <si>
    <t>上海振漠新材料有限公司</t>
  </si>
  <si>
    <t>20240715</t>
  </si>
  <si>
    <t>聚酰亚胺薄膜</t>
  </si>
  <si>
    <t xml:space="preserve">CN50 0.050MM*520MM*200M </t>
  </si>
  <si>
    <t>宁波今山新材料有限公司</t>
  </si>
  <si>
    <t>CEN-WT-240725</t>
  </si>
  <si>
    <t>绝缘油</t>
  </si>
  <si>
    <t>LOCTITE EDAG 452SS</t>
  </si>
  <si>
    <t>昆山市华信三和电子有限公司</t>
  </si>
  <si>
    <t>SWJX-CS01-20240731001</t>
  </si>
  <si>
    <t>ADI 开发板</t>
  </si>
  <si>
    <t>EVAL-CN0540-ARDZ</t>
  </si>
  <si>
    <t>PCS</t>
  </si>
  <si>
    <t>深圳市协达兴科技有限公司</t>
  </si>
  <si>
    <t>XDXINGXH08240006</t>
  </si>
  <si>
    <t>ST 意法 开发板</t>
  </si>
  <si>
    <t>STM32F746G-DISCO</t>
  </si>
  <si>
    <t>3M 467胶</t>
  </si>
  <si>
    <t>只</t>
  </si>
  <si>
    <t>苏州雅高电子材料有限公司</t>
  </si>
  <si>
    <t>PEDOT： PSS导电颗粒</t>
  </si>
  <si>
    <t>O-Dry 5g/瓶</t>
  </si>
  <si>
    <t>珠海凯为新材料技术有限公司</t>
  </si>
  <si>
    <t>PUR-20240911-11</t>
  </si>
  <si>
    <t>TPU</t>
  </si>
  <si>
    <t>1185A</t>
  </si>
  <si>
    <t>上海富辉塑化有限公司</t>
  </si>
  <si>
    <t>YY-202409125</t>
  </si>
  <si>
    <t>CN100 0.100MM*520MM*100M*1R</t>
  </si>
  <si>
    <t>CEN-RW-241015</t>
  </si>
  <si>
    <t>20241113006PEJWB</t>
  </si>
  <si>
    <t>导电碳浆</t>
  </si>
  <si>
    <t>Field-808</t>
  </si>
  <si>
    <t>1KG/桶</t>
  </si>
  <si>
    <t>深圳市田野岛电子有限公司</t>
  </si>
  <si>
    <t>TI TSSOP-16</t>
  </si>
  <si>
    <t>TMUX1208PWR</t>
  </si>
  <si>
    <t>XCSO2411270259</t>
  </si>
  <si>
    <t>STM LQFP48</t>
  </si>
  <si>
    <t>STM32G070CBT6</t>
  </si>
  <si>
    <t>ADI SOT-23-5</t>
  </si>
  <si>
    <t xml:space="preserve">AD8605ARTZ-REEL7 </t>
  </si>
  <si>
    <t>薄膜</t>
  </si>
  <si>
    <t>0.03mm*1100mm*30m</t>
  </si>
  <si>
    <t>昆山梦航电子有限公司</t>
  </si>
  <si>
    <t>RW 2024120401</t>
  </si>
  <si>
    <t>TE-11C</t>
  </si>
  <si>
    <t>250mm*80m</t>
  </si>
  <si>
    <t>苏州艾乐格电子科技有限公司</t>
  </si>
  <si>
    <t>ELG2024120401</t>
  </si>
  <si>
    <t>PUR-20250206-12</t>
  </si>
  <si>
    <t xml:space="preserve">PDSM膜 </t>
  </si>
  <si>
    <t>DC100 320mm毛边*10m*0.1mm</t>
  </si>
  <si>
    <t>杭州微思创科技有限公司</t>
  </si>
  <si>
    <t>20250208-1</t>
  </si>
  <si>
    <t>传感器电极打样费</t>
  </si>
  <si>
    <t>20250208002PEJWB</t>
  </si>
  <si>
    <t>芯片 12款</t>
  </si>
  <si>
    <t>TI/ADI/STM/MICROHIP</t>
  </si>
  <si>
    <t>3M 7533</t>
  </si>
  <si>
    <t xml:space="preserve">3KG </t>
  </si>
  <si>
    <t>桶</t>
  </si>
  <si>
    <t>20250402009PEJWB</t>
  </si>
  <si>
    <t>PDMS薄膜</t>
  </si>
  <si>
    <t>BD-9040PF 0.1mm厚</t>
  </si>
  <si>
    <t>杭州包尔得新材料科技有限公司</t>
  </si>
  <si>
    <t>Y20250407</t>
  </si>
  <si>
    <t>202504100002PEJWB</t>
  </si>
  <si>
    <t>CN50 0.050MM*520MM</t>
  </si>
  <si>
    <t>CEN-YX-250411</t>
  </si>
  <si>
    <t>202504140004PEJWB</t>
  </si>
  <si>
    <t>压力传感油墨</t>
  </si>
  <si>
    <t>40K</t>
  </si>
  <si>
    <t>深圳云会新材料科技有限公司</t>
  </si>
  <si>
    <t>YHX250417002</t>
  </si>
  <si>
    <t>3000K</t>
  </si>
  <si>
    <t>202505100005PEJWB</t>
  </si>
  <si>
    <t>聚苯乙烯磺酸钠</t>
  </si>
  <si>
    <t>20万分子量</t>
  </si>
  <si>
    <t>武汉克米克生物医药技术有限公司</t>
  </si>
  <si>
    <t>20250520</t>
  </si>
  <si>
    <t>芯片 4款</t>
  </si>
  <si>
    <t>TI/ADI/STM</t>
  </si>
  <si>
    <t>导热硅胶 YC691-R</t>
  </si>
  <si>
    <t>500G/支</t>
  </si>
  <si>
    <t>广州市怡晨电子科技有限公司</t>
  </si>
  <si>
    <t>YC25061801</t>
  </si>
  <si>
    <t>导热硅胶 YC691-B</t>
  </si>
  <si>
    <t>501G/支</t>
  </si>
  <si>
    <t>导电胶</t>
  </si>
  <si>
    <t>3M 7303胶</t>
  </si>
  <si>
    <t>PC</t>
  </si>
  <si>
    <t>2025062301</t>
  </si>
  <si>
    <t>斑马条压敏布成品</t>
  </si>
  <si>
    <t>50cm*50cm</t>
  </si>
  <si>
    <t>片</t>
  </si>
  <si>
    <t>苏州泰克银纤维科技有限公司</t>
  </si>
  <si>
    <t>深圳市云会材料科技有限公司</t>
  </si>
  <si>
    <t>足底压力传感器</t>
  </si>
  <si>
    <t>ZYH504-S3-FPC拼版-V1.0</t>
  </si>
  <si>
    <t>双</t>
  </si>
  <si>
    <t>深圳市宇恒电子科技有限公司</t>
  </si>
  <si>
    <t>ZYH504-S4-FPC拼版-V1.0</t>
  </si>
  <si>
    <t>ZYH504-S5-FPC拼版-V1.0</t>
  </si>
  <si>
    <t>M型刮胶</t>
  </si>
  <si>
    <t>SPS-M-5*35*1950-75A蓝</t>
  </si>
  <si>
    <t>根</t>
  </si>
  <si>
    <t>常州普雷特印刷科技有限公司</t>
  </si>
  <si>
    <t>PLT-250729-0021</t>
  </si>
  <si>
    <t>SPS-M-5*35*1950-83A黄</t>
  </si>
  <si>
    <t>高阻碳</t>
  </si>
  <si>
    <t>kg</t>
  </si>
  <si>
    <t>低阻碳</t>
  </si>
  <si>
    <t>3M 9448A 胶</t>
  </si>
  <si>
    <t>260mm*50m</t>
  </si>
  <si>
    <t>pc</t>
  </si>
  <si>
    <t>线路银浆</t>
  </si>
  <si>
    <t>Perno-5106</t>
  </si>
  <si>
    <t xml:space="preserve">KG </t>
  </si>
  <si>
    <t>20250807003PEJWB</t>
  </si>
  <si>
    <t>PI薄膜</t>
  </si>
  <si>
    <t>厚度0.1</t>
  </si>
  <si>
    <t>CEN-RW-250811</t>
  </si>
  <si>
    <t>厚度0.025</t>
  </si>
  <si>
    <t>CEN-RW-250828</t>
  </si>
  <si>
    <t>指尖塑胶壳3D-0829</t>
  </si>
  <si>
    <t>POM-纯黑 机加件-按图</t>
  </si>
  <si>
    <t>吴中区光福明户创机械加工厂</t>
  </si>
  <si>
    <t>RW-20250801S001</t>
  </si>
  <si>
    <t>RW-20250908S002</t>
  </si>
  <si>
    <t>苏州市惠海精密科技有限公司</t>
  </si>
  <si>
    <t>RW-20250915S001</t>
  </si>
  <si>
    <t>20-15</t>
  </si>
  <si>
    <t>RW-20250922S001</t>
  </si>
  <si>
    <t>银粉</t>
  </si>
  <si>
    <t>N315</t>
  </si>
  <si>
    <t>柯斯飞科技（苏州）有限责任公司</t>
  </si>
  <si>
    <t>RW-20250923S001</t>
  </si>
  <si>
    <t>CEN-RW-250928</t>
  </si>
  <si>
    <t>3M 9448A</t>
  </si>
  <si>
    <t>250mm*50m</t>
  </si>
  <si>
    <t xml:space="preserve">R </t>
  </si>
  <si>
    <t>CY-44</t>
  </si>
  <si>
    <t>20251009002PEJWB</t>
  </si>
  <si>
    <t>涤纶网布</t>
  </si>
  <si>
    <t>吴江市靖能纺织品有限公司</t>
  </si>
  <si>
    <t>RW20251022S001</t>
  </si>
  <si>
    <t>树脂</t>
  </si>
  <si>
    <t>LY810</t>
  </si>
  <si>
    <t>广东龙禹新材料科技有限公司</t>
  </si>
  <si>
    <t>20251023-1</t>
  </si>
  <si>
    <t>固化剂</t>
  </si>
  <si>
    <t>LY936</t>
  </si>
  <si>
    <t>促进剂</t>
  </si>
  <si>
    <t>LY710</t>
  </si>
  <si>
    <t>LY8560</t>
  </si>
  <si>
    <t>RW-20251027S001</t>
  </si>
  <si>
    <t>高透光油</t>
  </si>
  <si>
    <t>PR-801H</t>
  </si>
  <si>
    <t>苏州品隆新材料有限公司</t>
  </si>
  <si>
    <t>RW-20251106S001</t>
  </si>
  <si>
    <t>P-19</t>
  </si>
  <si>
    <t>PI单面胶 K225F</t>
  </si>
  <si>
    <t>250mm宽幅*33米</t>
  </si>
  <si>
    <t>靖江市莱得电子科技有限公司</t>
  </si>
  <si>
    <t>RW-20251105S001</t>
  </si>
  <si>
    <t>搅拌机夹具</t>
  </si>
  <si>
    <t>30ml</t>
  </si>
  <si>
    <t>洛八汉精密机械（苏州）有限公司</t>
  </si>
  <si>
    <t>PO-20250900051</t>
  </si>
  <si>
    <t>无水乙醇</t>
  </si>
  <si>
    <t>苏州费斯生物科技有限公司</t>
  </si>
  <si>
    <t>RW-20251106S002</t>
  </si>
  <si>
    <t>75度刮胶条</t>
  </si>
  <si>
    <t>50mm*9mm</t>
  </si>
  <si>
    <t>卷</t>
  </si>
  <si>
    <t>RW-20251111S001</t>
  </si>
  <si>
    <t>德莎88676胶</t>
  </si>
  <si>
    <t>240mm*100m未锐</t>
  </si>
  <si>
    <t>苏州正格新材料科技有限公司</t>
  </si>
  <si>
    <t>RW-20251112S001</t>
  </si>
  <si>
    <t>RW-20251119S002</t>
  </si>
  <si>
    <t>Gerber 36码 左&amp;右</t>
  </si>
  <si>
    <t xml:space="preserve">FPCA </t>
  </si>
  <si>
    <t>苏州迎安电子科技有限公司</t>
  </si>
  <si>
    <t>RW-20251119S001</t>
  </si>
  <si>
    <t>银浆树脂</t>
  </si>
  <si>
    <t>PR-9700</t>
  </si>
  <si>
    <t>RW-20251121S001</t>
  </si>
  <si>
    <t>0.05mmPI膜</t>
  </si>
  <si>
    <t>520mm*100mm</t>
  </si>
  <si>
    <t>RW-20251120S002</t>
  </si>
  <si>
    <t>一拖八FPC排线</t>
  </si>
  <si>
    <t>两层，按图纸及工艺要求</t>
  </si>
  <si>
    <t>苏州赛凯电子科技有限公司</t>
  </si>
  <si>
    <t>RW-20251120S001</t>
  </si>
  <si>
    <t>压力传感器</t>
  </si>
  <si>
    <t>RWP-001</t>
  </si>
  <si>
    <t>柔微智能（苏州）科技有限公司</t>
  </si>
  <si>
    <t>RW-20251126S001</t>
  </si>
  <si>
    <t>油墨*高阻碳</t>
  </si>
  <si>
    <t>RW-2M-8419</t>
  </si>
  <si>
    <t>汉高UV绿油</t>
  </si>
  <si>
    <t>452SS</t>
  </si>
  <si>
    <t>RW-20251127S001</t>
  </si>
  <si>
    <t>银纳米线</t>
  </si>
  <si>
    <t>40-50nm，长度10-20um</t>
  </si>
  <si>
    <t>ml</t>
  </si>
  <si>
    <t>南京苏展智能科技有限公司</t>
  </si>
  <si>
    <t>RW-20251201S002</t>
  </si>
  <si>
    <t>Gerber 44码-左 2025-08-28</t>
  </si>
  <si>
    <t>FPCA</t>
  </si>
  <si>
    <t>RW-20251202S001</t>
  </si>
  <si>
    <t>Gerber 44码-右 2025-08-28</t>
  </si>
  <si>
    <t>Gerber 36码-左 2025-08-28</t>
  </si>
  <si>
    <t>背胶</t>
  </si>
  <si>
    <t>常州浩达科技股份有限公司</t>
  </si>
  <si>
    <t>RW-20251203S001</t>
  </si>
  <si>
    <t>Gerber 36码-右 2025-08-28</t>
  </si>
  <si>
    <t>Gerber 36码-左 2025-08-29</t>
  </si>
  <si>
    <t>布+双面胶</t>
  </si>
  <si>
    <t>RW-20251208S001</t>
  </si>
  <si>
    <t>尖3D-0715</t>
  </si>
  <si>
    <t>无锡时成电子科技有限公司</t>
  </si>
  <si>
    <t>RW-20251205S001</t>
  </si>
  <si>
    <t>Gerber_38_码-左_2025-12-08</t>
  </si>
  <si>
    <t>RW-20251209S001</t>
  </si>
  <si>
    <t>Gerber_38_码-右_2025-12-08</t>
  </si>
  <si>
    <t>Gerber_40_码-左_2025-12-08</t>
  </si>
  <si>
    <t>Gerber_40_码-右_2025-12-08</t>
  </si>
  <si>
    <t>Gerber_42_码-左_2025-12-08</t>
  </si>
  <si>
    <t>Gerber_42_码-右_2025-12-08</t>
  </si>
  <si>
    <t>Gerber_ZYH504-S5-FPC拼版- 2025-07-04</t>
  </si>
  <si>
    <t>S</t>
  </si>
  <si>
    <t>RW-20251210S002</t>
  </si>
  <si>
    <t>Gerber_ZYH504-S4-FPC拼版- 2025-07-04</t>
  </si>
  <si>
    <t>M</t>
  </si>
  <si>
    <t>Gerber_ZYH504-S3-FPC拼版 2025-07-04</t>
  </si>
  <si>
    <t>L</t>
  </si>
  <si>
    <t>SPS-M-5*35*1950-70A</t>
  </si>
  <si>
    <t>RW-20251210S001</t>
  </si>
  <si>
    <t>SPS-M-5*35*1950-75A</t>
  </si>
  <si>
    <t>指尖黑色POM外壳（埋M1.6铜螺母）</t>
  </si>
  <si>
    <t>机加件-按图</t>
  </si>
  <si>
    <t>RW-20251210S003</t>
  </si>
  <si>
    <t xml:space="preserve">50umPET双面胶
HC-DT50-31 </t>
  </si>
  <si>
    <t>1020mm*200m</t>
  </si>
  <si>
    <t>江苏航创新材料有限公司</t>
  </si>
  <si>
    <t>RW-20251212S001</t>
  </si>
  <si>
    <t>100umPET双面胶
HC-DT100-31</t>
  </si>
  <si>
    <t>RW-20251215S001</t>
  </si>
  <si>
    <t>单卷宽度257mm</t>
  </si>
  <si>
    <t>RW-20251215S002</t>
  </si>
  <si>
    <t xml:space="preserve">3M 9448A </t>
  </si>
  <si>
    <t>RW-20251215S003</t>
  </si>
  <si>
    <t>PO4L</t>
  </si>
  <si>
    <t>RW-20251217S002</t>
  </si>
  <si>
    <t>工装设计与制造</t>
  </si>
  <si>
    <t>见图纸</t>
  </si>
  <si>
    <t>苏州阳晨自动化科技有限公司</t>
  </si>
  <si>
    <t>RW-20251222S001</t>
  </si>
  <si>
    <t>是</t>
  </si>
  <si>
    <t>5L/桶</t>
  </si>
  <si>
    <t>RW-20251225S001</t>
  </si>
  <si>
    <t>0.05mm PI
CN50</t>
  </si>
  <si>
    <t>260mm*190m</t>
  </si>
  <si>
    <t>RW-20251226S002</t>
  </si>
  <si>
    <t>PI单面胶（硅胶）
LD-PI2560</t>
  </si>
  <si>
    <t>250mm*33米</t>
  </si>
  <si>
    <t>RW-20251226S001</t>
  </si>
  <si>
    <t>XJC-Y18-5K+XJC-608T-F-R4-V</t>
  </si>
  <si>
    <t>深圳鑫精诚传感器技术有限公司</t>
  </si>
  <si>
    <t>RW-20251219S001</t>
  </si>
  <si>
    <t>组装费</t>
  </si>
  <si>
    <t>鞋垫</t>
  </si>
  <si>
    <t>RW-20260106S001</t>
  </si>
  <si>
    <t>靴子</t>
  </si>
  <si>
    <t>ZYH504-S3码-左-背胶</t>
  </si>
  <si>
    <t>RW-20251217S001</t>
  </si>
  <si>
    <t>ZYH504-S3码-右-背胶</t>
  </si>
  <si>
    <t>ZYH504-S3码-左-布</t>
  </si>
  <si>
    <t>ZYH504-S3码-右-布</t>
  </si>
  <si>
    <t>ZYH504-S4码-左-背胶-V2.1</t>
  </si>
  <si>
    <t>RW-20251219S002</t>
  </si>
  <si>
    <t>ZYH504-S4码-右-背胶-V2.1</t>
  </si>
  <si>
    <t>ZYH504-S5码-左-背胶-V2.1</t>
  </si>
  <si>
    <t>ZYH504-S5码-右-背胶-V2.1</t>
  </si>
  <si>
    <t>ZYH504-S4码-左-布-V2.1</t>
  </si>
  <si>
    <t>ZYH504-S4码-右-布-V2.1</t>
  </si>
  <si>
    <t>ZYH504-S5码-左-布-V2.1</t>
  </si>
  <si>
    <t>ZYH504-S5码-右-布-V2.1</t>
  </si>
  <si>
    <t>ZYH526-38码-左-背胶</t>
  </si>
  <si>
    <t>RW-20251215S004</t>
  </si>
  <si>
    <t>ZYH526-38码-右-背胶</t>
  </si>
  <si>
    <t>ZYH526-38码-左-布</t>
  </si>
  <si>
    <t>ZYH526-38码-右-布</t>
  </si>
  <si>
    <t>ZYH526-40码-左-背胶</t>
  </si>
  <si>
    <t>ZYH526-40码-右-背胶</t>
  </si>
  <si>
    <t>ZYH526-40码-左-布</t>
  </si>
  <si>
    <t>ZYH526-40码-右-布</t>
  </si>
  <si>
    <t>ZYH526-42码-左-背胶</t>
  </si>
  <si>
    <t>ZYH526-42码-右-背胶</t>
  </si>
  <si>
    <t>ZYH526-42码-左-布</t>
  </si>
  <si>
    <t>ZYH526-42码-右-布</t>
  </si>
  <si>
    <t>ZYH526-44码-左-背胶</t>
  </si>
  <si>
    <t>ZYH526-44码-右-背胶</t>
  </si>
  <si>
    <t>ZYH526-44码-左-布</t>
  </si>
  <si>
    <t>ZYH526-44码-右-布</t>
  </si>
  <si>
    <t>高分子材料</t>
  </si>
  <si>
    <t>ZY-26-001</t>
  </si>
  <si>
    <t>上海迪遒生物科技有限公司</t>
  </si>
  <si>
    <t>RW-20260107S001</t>
  </si>
  <si>
    <t>ZY-25-001</t>
  </si>
  <si>
    <t>g</t>
  </si>
  <si>
    <t>活性炭口罩</t>
  </si>
  <si>
    <t>50个/盒</t>
  </si>
  <si>
    <t>盒</t>
  </si>
  <si>
    <t>RW-20260108S001</t>
  </si>
  <si>
    <t>高分子树脂</t>
  </si>
  <si>
    <t>ZY-26-002</t>
  </si>
  <si>
    <t>RW-20260109S001</t>
  </si>
  <si>
    <t>RW-20260112S002</t>
  </si>
  <si>
    <t>RW-20260112S001</t>
  </si>
  <si>
    <t>助剂</t>
  </si>
  <si>
    <t>P-105</t>
  </si>
  <si>
    <t>P-125</t>
  </si>
  <si>
    <t>P824522聚苯胺</t>
  </si>
  <si>
    <t>25g/瓶</t>
  </si>
  <si>
    <t>瓶</t>
  </si>
  <si>
    <t>RW-20260116S002</t>
  </si>
  <si>
    <t>3M467双面胶</t>
  </si>
  <si>
    <t>1240mm*55m</t>
  </si>
  <si>
    <t>R</t>
  </si>
  <si>
    <t>RW-20260116S001</t>
  </si>
  <si>
    <t>0.1PI膜</t>
  </si>
  <si>
    <t>520mm*200cm</t>
  </si>
  <si>
    <t>无锡市华润特种胶带有限公司</t>
  </si>
  <si>
    <t>RW-20260114S001</t>
  </si>
  <si>
    <t>RW-20260125S001</t>
  </si>
  <si>
    <t>1-乙基-3-甲基咪唑双三氟甲磺酰亚胺盐</t>
  </si>
  <si>
    <t>25 g</t>
  </si>
  <si>
    <t>RW-20260127S001</t>
  </si>
  <si>
    <t>RW-20260128S001</t>
  </si>
  <si>
    <t>RW-20260129S002</t>
  </si>
  <si>
    <t>75度刮胶条-蓝色</t>
  </si>
  <si>
    <t>50*9*2000mm</t>
  </si>
  <si>
    <t>RW-20260130S001</t>
  </si>
  <si>
    <t>银纤维面料复合布</t>
  </si>
  <si>
    <t>1.45米宽</t>
  </si>
  <si>
    <t>T2026020203</t>
  </si>
  <si>
    <t>RW-20260128S002</t>
  </si>
  <si>
    <t>黑色硅胶皮</t>
  </si>
  <si>
    <t>T0.65mm*215*300mm</t>
  </si>
  <si>
    <t>透明PC双面覆膜</t>
  </si>
  <si>
    <t>980mm*1830mm*1.0mm</t>
  </si>
  <si>
    <t>RW-20260129S001</t>
  </si>
  <si>
    <t>0.025PI</t>
  </si>
  <si>
    <t>520mm*400m</t>
  </si>
  <si>
    <t>RW-20260202S001</t>
  </si>
  <si>
    <t>HRC-G75B3-硅胶保护膜</t>
  </si>
  <si>
    <t>1090mm*200m</t>
  </si>
  <si>
    <t>苏州恒聪高新材料科技股份有限公司</t>
  </si>
  <si>
    <t>RW-20260204S001</t>
  </si>
  <si>
    <t>防护用品</t>
  </si>
  <si>
    <t>丁腈手套</t>
  </si>
  <si>
    <t>RW-20260205S001</t>
  </si>
  <si>
    <t>韩仁厚</t>
  </si>
  <si>
    <t>电子件</t>
  </si>
  <si>
    <t>科敏温压一体传感器</t>
  </si>
  <si>
    <t>温度传感器排线</t>
  </si>
  <si>
    <t>Cu:1/3oz 双面无胶ED 化金</t>
  </si>
  <si>
    <t>RW-20260227S001</t>
  </si>
  <si>
    <t>月结</t>
  </si>
  <si>
    <t>压力传感器排线</t>
  </si>
  <si>
    <t>研发部</t>
  </si>
  <si>
    <t>IT物料</t>
  </si>
  <si>
    <t>台式电脑</t>
  </si>
  <si>
    <t>台</t>
  </si>
  <si>
    <t>佳时坤</t>
  </si>
  <si>
    <t>刻章</t>
  </si>
  <si>
    <t>笔记本电脑</t>
  </si>
  <si>
    <t>联想E14</t>
  </si>
  <si>
    <t>鼠标</t>
  </si>
  <si>
    <t>罗技M750</t>
  </si>
  <si>
    <t>UV滴胶</t>
  </si>
  <si>
    <t>250ml</t>
  </si>
  <si>
    <t>支</t>
  </si>
  <si>
    <t>保鲜膜</t>
  </si>
  <si>
    <t>15cm*300M</t>
  </si>
  <si>
    <t>惠普星Bokk</t>
  </si>
  <si>
    <t>塑料离心管</t>
  </si>
  <si>
    <t>5ml(300个）</t>
  </si>
  <si>
    <t>包</t>
  </si>
  <si>
    <t>数据线</t>
  </si>
  <si>
    <t>黑色1m</t>
  </si>
  <si>
    <t>条</t>
  </si>
  <si>
    <t>蓝牙模块</t>
  </si>
  <si>
    <t>开发板</t>
  </si>
  <si>
    <t>开发套件</t>
  </si>
  <si>
    <t>泰凌微</t>
  </si>
  <si>
    <t>单片机</t>
  </si>
  <si>
    <t>注射器</t>
  </si>
  <si>
    <t>5ml（100只）</t>
  </si>
  <si>
    <t>移液器头</t>
  </si>
  <si>
    <t>1ml(500)</t>
  </si>
  <si>
    <t>电容触摸模块</t>
  </si>
  <si>
    <t>海晶驰</t>
  </si>
  <si>
    <t>锂电池</t>
  </si>
  <si>
    <t>2000毫安</t>
  </si>
  <si>
    <t>软皮笔记本</t>
  </si>
  <si>
    <t>A5</t>
  </si>
  <si>
    <t>本</t>
  </si>
  <si>
    <t>线材</t>
  </si>
  <si>
    <t>铁弗龙</t>
  </si>
  <si>
    <t>静电鞋网面</t>
  </si>
  <si>
    <t>37码</t>
  </si>
  <si>
    <t>滤杯</t>
  </si>
  <si>
    <t>300ml</t>
  </si>
  <si>
    <t>打印机</t>
  </si>
  <si>
    <t>雅科莱M221</t>
  </si>
  <si>
    <t>哑银标签纸</t>
  </si>
  <si>
    <t>60*80（100张）</t>
  </si>
  <si>
    <t>金士顿高速TF卡</t>
  </si>
  <si>
    <t>32G</t>
  </si>
  <si>
    <t>得力双头记号笔</t>
  </si>
  <si>
    <t>黑色</t>
  </si>
  <si>
    <t>无线网卡</t>
  </si>
  <si>
    <t>晨光A4纸</t>
  </si>
  <si>
    <t>5*5*100张</t>
  </si>
  <si>
    <t>箱</t>
  </si>
  <si>
    <t>DELL笔记本电脑</t>
  </si>
  <si>
    <t>灵越16PLUS</t>
  </si>
  <si>
    <t>升降旋转椅</t>
  </si>
  <si>
    <t>黑色（63-83）</t>
  </si>
  <si>
    <t>嘉宝莉稀释剂</t>
  </si>
  <si>
    <t>CCS327</t>
  </si>
  <si>
    <t>包装袋</t>
  </si>
  <si>
    <t>45*12cm</t>
  </si>
  <si>
    <t>包装纸箱</t>
  </si>
  <si>
    <t>430*210*135mm(10个）</t>
  </si>
  <si>
    <t>端子线</t>
  </si>
  <si>
    <t>红黑150mm</t>
  </si>
  <si>
    <t>7.4V 2600maH  XH2.54</t>
  </si>
  <si>
    <t>语音识别模块</t>
  </si>
  <si>
    <t>-</t>
  </si>
  <si>
    <t>扬声器</t>
  </si>
  <si>
    <t>3525喇叭</t>
  </si>
  <si>
    <t>直流电机</t>
  </si>
  <si>
    <t>XH2.54</t>
  </si>
  <si>
    <t>高速TF卡</t>
  </si>
  <si>
    <t>闪迪（32G 120M/S)</t>
  </si>
  <si>
    <t>读卡器</t>
  </si>
  <si>
    <t>山泽（合金款）</t>
  </si>
  <si>
    <t>小米显示器</t>
  </si>
  <si>
    <t>27寸</t>
  </si>
  <si>
    <t>烧录探针</t>
  </si>
  <si>
    <t>1.27单排4P/P50-G2</t>
  </si>
  <si>
    <t>XH2.54端子线</t>
  </si>
  <si>
    <t>4P双头同向</t>
  </si>
  <si>
    <t>0.8mm端子线</t>
  </si>
  <si>
    <t>4P单头一头镀锡</t>
  </si>
  <si>
    <t>剪刀</t>
  </si>
  <si>
    <t>得力铁氟龙</t>
  </si>
  <si>
    <t>把</t>
  </si>
  <si>
    <t>油墨塑料罐</t>
  </si>
  <si>
    <t>黑色螺纹150ml</t>
  </si>
  <si>
    <t>罐</t>
  </si>
  <si>
    <t>黑色螺纹300ml</t>
  </si>
  <si>
    <t>无尘布</t>
  </si>
  <si>
    <t>20*30cm（10斤）</t>
  </si>
  <si>
    <t>USB转接口</t>
  </si>
  <si>
    <t>绿联</t>
  </si>
  <si>
    <t>静音键盘</t>
  </si>
  <si>
    <t>DoubleSHell</t>
  </si>
  <si>
    <t>档案袋</t>
  </si>
  <si>
    <t>100个装/200g</t>
  </si>
  <si>
    <t>灌封胶</t>
  </si>
  <si>
    <t>铂桥灰色10：1(330g)</t>
  </si>
  <si>
    <t>铂桥透明2：1（150g)</t>
  </si>
  <si>
    <t>气缸控制器</t>
  </si>
  <si>
    <t>气缸</t>
  </si>
  <si>
    <t>SC32</t>
  </si>
  <si>
    <t>自封袋</t>
  </si>
  <si>
    <t>12*17cm(100)</t>
  </si>
  <si>
    <t>17*24cm(100)</t>
  </si>
  <si>
    <t>清洗壶</t>
  </si>
  <si>
    <t>500ml（5个）</t>
  </si>
  <si>
    <t>工业交换机</t>
  </si>
  <si>
    <t>拓宾</t>
  </si>
  <si>
    <t>电源适配器</t>
  </si>
  <si>
    <t>金陵声宝</t>
  </si>
  <si>
    <t>电源滤波器</t>
  </si>
  <si>
    <t>铭霆CW2B-3A-T插座式</t>
  </si>
  <si>
    <t>散热风扇</t>
  </si>
  <si>
    <t>LFFAN    3CM12V静音</t>
  </si>
  <si>
    <t>电源线</t>
  </si>
  <si>
    <t>一分十（70cm)</t>
  </si>
  <si>
    <t>网线</t>
  </si>
  <si>
    <t>黑色0.3m</t>
  </si>
  <si>
    <t>黑色0.4m</t>
  </si>
  <si>
    <t>网线接口</t>
  </si>
  <si>
    <t>6类千兆带耳朵（右弯头）</t>
  </si>
  <si>
    <t>电源滤波器接口</t>
  </si>
  <si>
    <t>FDFN2-250</t>
  </si>
  <si>
    <t>和纸胶带</t>
  </si>
  <si>
    <t>5cm*50(10卷）</t>
  </si>
  <si>
    <t>41码</t>
  </si>
  <si>
    <t>公牛插座</t>
  </si>
  <si>
    <t>315（1.8米）</t>
  </si>
  <si>
    <t>316（1.8米）</t>
  </si>
  <si>
    <t>静电桌</t>
  </si>
  <si>
    <t>200*70*75cm</t>
  </si>
  <si>
    <t>USB拓展坞</t>
  </si>
  <si>
    <t>绿联USB3.2*2</t>
  </si>
  <si>
    <t>擦手纸</t>
  </si>
  <si>
    <t>若禺（20包/箱）</t>
  </si>
  <si>
    <t>抽纸</t>
  </si>
  <si>
    <t>若愚（40包/箱）</t>
  </si>
  <si>
    <t>鼠标垫</t>
  </si>
  <si>
    <t>工业无尘布</t>
  </si>
  <si>
    <t>蓝色12.5*38cm(8卷）</t>
  </si>
  <si>
    <t>农夫山泉</t>
  </si>
  <si>
    <t>550ml*12瓶</t>
  </si>
  <si>
    <t>方便面</t>
  </si>
  <si>
    <t>汤达人（12碗）</t>
  </si>
  <si>
    <t>康师傅BIG（12桶）</t>
  </si>
  <si>
    <t>洗手液</t>
  </si>
  <si>
    <t>威露士525ml*3袋</t>
  </si>
  <si>
    <t>按压塑料瓶</t>
  </si>
  <si>
    <t>固体香膏</t>
  </si>
  <si>
    <t>4瓶装</t>
  </si>
  <si>
    <t>粘尘垫</t>
  </si>
  <si>
    <t>60*90cm(30张）</t>
  </si>
  <si>
    <t>组</t>
  </si>
  <si>
    <t>点胶筒</t>
  </si>
  <si>
    <t>30CC</t>
  </si>
  <si>
    <t>扫描电镜样品台</t>
  </si>
  <si>
    <t>硅胶胶水</t>
  </si>
  <si>
    <t>618C 300ml</t>
  </si>
  <si>
    <t>连接器</t>
  </si>
  <si>
    <t>4Pin</t>
  </si>
  <si>
    <t>4P;200mm(双头同向）</t>
  </si>
  <si>
    <t>焊锡丝</t>
  </si>
  <si>
    <t>63%含锡量0.6mm(500g)</t>
  </si>
  <si>
    <t>松人显示器</t>
  </si>
  <si>
    <t>27寸4K</t>
  </si>
  <si>
    <t>测力仪</t>
  </si>
  <si>
    <t>0~5KG</t>
  </si>
  <si>
    <t>STM32F072B-DISCO</t>
  </si>
  <si>
    <t>4PIN连接器</t>
  </si>
  <si>
    <t>JST</t>
  </si>
  <si>
    <t>塑料软管</t>
  </si>
  <si>
    <t>内径25mm（五米）</t>
  </si>
  <si>
    <t>5V2A</t>
  </si>
  <si>
    <t>点胶针头</t>
  </si>
  <si>
    <t>25G红色0.26mm（100支）</t>
  </si>
  <si>
    <t>4PIN连接线</t>
  </si>
  <si>
    <t>30CM*300MM</t>
  </si>
  <si>
    <t>220V   12V/2.5A</t>
  </si>
  <si>
    <t>硅胶管</t>
  </si>
  <si>
    <t>内径0.8*外径4mm</t>
  </si>
  <si>
    <t>智能防盗锁</t>
  </si>
  <si>
    <t>博克</t>
  </si>
  <si>
    <t>丁晴手套</t>
  </si>
  <si>
    <t>L码（100只）</t>
  </si>
  <si>
    <t>0.8mm  4P  20cm*200mm</t>
  </si>
  <si>
    <t>乳胶手套</t>
  </si>
  <si>
    <t>L(100只）</t>
  </si>
  <si>
    <t>特慢干水</t>
  </si>
  <si>
    <t>嘉宝莉CCS327</t>
  </si>
  <si>
    <t>6*6寸（100片）</t>
  </si>
  <si>
    <t>不锈钢过滤片</t>
  </si>
  <si>
    <t>40*2mm</t>
  </si>
  <si>
    <t>气球</t>
  </si>
  <si>
    <t>50根</t>
  </si>
  <si>
    <t>联想小新14C  16G+512G</t>
  </si>
  <si>
    <t>拓展坞</t>
  </si>
  <si>
    <t>5合1  4K60Hz+USB3.0</t>
  </si>
  <si>
    <t>键盘</t>
  </si>
  <si>
    <t>狼途</t>
  </si>
  <si>
    <t>点胶机针头</t>
  </si>
  <si>
    <t>25G</t>
  </si>
  <si>
    <t>标签纸</t>
  </si>
  <si>
    <t>9mm*7.5m</t>
  </si>
  <si>
    <t>20口</t>
  </si>
  <si>
    <t>石英玻璃</t>
  </si>
  <si>
    <t>正方形10*10cm*1mm</t>
  </si>
  <si>
    <t>张力计</t>
  </si>
  <si>
    <t>瑞士TETKO</t>
  </si>
  <si>
    <t>百洁布</t>
  </si>
  <si>
    <t>10块装</t>
  </si>
  <si>
    <t>洗洁精</t>
  </si>
  <si>
    <t>1.6斤装</t>
  </si>
  <si>
    <t>静电鞋</t>
  </si>
  <si>
    <t>42码</t>
  </si>
  <si>
    <t>502胶水</t>
  </si>
  <si>
    <t>5瓶</t>
  </si>
  <si>
    <t>镊子</t>
  </si>
  <si>
    <t>6支装（3套）</t>
  </si>
  <si>
    <t>垃圾桶</t>
  </si>
  <si>
    <t>12L</t>
  </si>
  <si>
    <t>会议一体机</t>
  </si>
  <si>
    <t>小米4K</t>
  </si>
  <si>
    <t>铝型材</t>
  </si>
  <si>
    <t>1400mm</t>
  </si>
  <si>
    <t>810mm</t>
  </si>
  <si>
    <t>760mm</t>
  </si>
  <si>
    <t>铝型材角槽</t>
  </si>
  <si>
    <t>3M口罩</t>
  </si>
  <si>
    <t>头戴式（20只）</t>
  </si>
  <si>
    <t>密封胶</t>
  </si>
  <si>
    <t>万用表</t>
  </si>
  <si>
    <t>15B MAX KIT</t>
  </si>
  <si>
    <t>无尘纸</t>
  </si>
  <si>
    <t>20cm*30cm(500张）</t>
  </si>
  <si>
    <t>开油水</t>
  </si>
  <si>
    <t>1KG</t>
  </si>
  <si>
    <t>洗网水</t>
  </si>
  <si>
    <t>扎带</t>
  </si>
  <si>
    <t>2.5*100（5根）</t>
  </si>
  <si>
    <t>烤架</t>
  </si>
  <si>
    <t>40*80cm</t>
  </si>
  <si>
    <t>200*80*75cm</t>
  </si>
  <si>
    <t>钢材</t>
  </si>
  <si>
    <t>定制</t>
  </si>
  <si>
    <t>弹性膜</t>
  </si>
  <si>
    <t>50微米*1/100微米*1</t>
  </si>
  <si>
    <t>擦窗神器</t>
  </si>
  <si>
    <t>4个海绵头</t>
  </si>
  <si>
    <t>玻璃水</t>
  </si>
  <si>
    <t>10斤装</t>
  </si>
  <si>
    <t>标签打印机</t>
  </si>
  <si>
    <t>硕方G11Pro</t>
  </si>
  <si>
    <t>加长铣刀</t>
  </si>
  <si>
    <t>1*6（3+3）*4*50*3T</t>
  </si>
  <si>
    <t>解胶剂</t>
  </si>
  <si>
    <t>500ml</t>
  </si>
  <si>
    <t>标牌</t>
  </si>
  <si>
    <t>贴纸</t>
  </si>
  <si>
    <t>黑色（2张装）</t>
  </si>
  <si>
    <t>清洗冲壶</t>
  </si>
  <si>
    <t>500ml(5个装）</t>
  </si>
  <si>
    <t>滤膜</t>
  </si>
  <si>
    <t>水系50mm*0.22um (50片）</t>
  </si>
  <si>
    <t>不锈钢锯</t>
  </si>
  <si>
    <t>6寸</t>
  </si>
  <si>
    <t>乳化油</t>
  </si>
  <si>
    <t>1L</t>
  </si>
  <si>
    <t>实验桌</t>
  </si>
  <si>
    <t>120*75*60cm</t>
  </si>
  <si>
    <t>超细20-50cm40斤</t>
  </si>
  <si>
    <t>内六角螺丝</t>
  </si>
  <si>
    <t>M5*12</t>
  </si>
  <si>
    <t>角码</t>
  </si>
  <si>
    <t>2028欧标</t>
  </si>
  <si>
    <t>设计</t>
  </si>
  <si>
    <t>得力（5把装）</t>
  </si>
  <si>
    <t>德力欧783-A</t>
  </si>
  <si>
    <t>长尾夹</t>
  </si>
  <si>
    <t>300只（盒）</t>
  </si>
  <si>
    <t>红包</t>
  </si>
  <si>
    <t>36（个）</t>
  </si>
  <si>
    <t>万兆</t>
  </si>
  <si>
    <t>离心管</t>
  </si>
  <si>
    <t>50ml尖平底（50个）</t>
  </si>
  <si>
    <t>乾德座子</t>
  </si>
  <si>
    <t>胸牌挂绳</t>
  </si>
  <si>
    <t>绝缘端子</t>
  </si>
  <si>
    <t>1.25-3</t>
  </si>
  <si>
    <t>1.25-4</t>
  </si>
  <si>
    <t>亚克力棒</t>
  </si>
  <si>
    <t>PVC软线槽</t>
  </si>
  <si>
    <t>5米（24*18）</t>
  </si>
  <si>
    <t>RFID阅读器</t>
  </si>
  <si>
    <t>SI24R1</t>
  </si>
  <si>
    <t>Deom板</t>
  </si>
  <si>
    <t>36.5*22mm</t>
  </si>
  <si>
    <t>烧录器</t>
  </si>
  <si>
    <t>RFID</t>
  </si>
  <si>
    <t>DC电源延长线</t>
  </si>
  <si>
    <t>黑色加粗20米</t>
  </si>
  <si>
    <t>工业插头</t>
  </si>
  <si>
    <t>125A 5芯</t>
  </si>
  <si>
    <t>工业防爆插座</t>
  </si>
  <si>
    <t>双联5孔</t>
  </si>
  <si>
    <t>亚克力面板定制</t>
  </si>
  <si>
    <t>联想邵阳X5-14 core5 16G 512G(含包鼠）</t>
  </si>
  <si>
    <t>会议夹</t>
  </si>
  <si>
    <t>无线模块</t>
  </si>
  <si>
    <t>DX-NR02(T0)</t>
  </si>
  <si>
    <t>FPC转接板</t>
  </si>
  <si>
    <t>34P 1mm 直针</t>
  </si>
  <si>
    <t>透明胶</t>
  </si>
  <si>
    <t>4。5cm*91.4m/3卷</t>
  </si>
  <si>
    <t>排烟软管</t>
  </si>
  <si>
    <t>125mm;2m</t>
  </si>
  <si>
    <t>8丝 30*42cm</t>
  </si>
  <si>
    <t>1gk</t>
  </si>
  <si>
    <t>树脂IR120</t>
  </si>
  <si>
    <t>500g</t>
  </si>
  <si>
    <t>大孔树脂</t>
  </si>
  <si>
    <t>XAD-4  500g</t>
  </si>
  <si>
    <t>野火</t>
  </si>
  <si>
    <t>除臭丸</t>
  </si>
  <si>
    <t>4袋（24枚）</t>
  </si>
  <si>
    <t>罗技M185无线</t>
  </si>
  <si>
    <t>美工刀</t>
  </si>
  <si>
    <t>160mm，10cm（5把）</t>
  </si>
  <si>
    <t>签字笔</t>
  </si>
  <si>
    <t>20笔+30笔芯</t>
  </si>
  <si>
    <t>电池</t>
  </si>
  <si>
    <t>南孚5号（24粒）;7号（16粒）</t>
  </si>
  <si>
    <t>标签打印纸</t>
  </si>
  <si>
    <t>50*30（200张）</t>
  </si>
  <si>
    <t>22G(100支）;23G（100支）</t>
  </si>
  <si>
    <t>纽扣电池</t>
  </si>
  <si>
    <t>CR1620-1(5粒）</t>
  </si>
  <si>
    <t>烧录夹具</t>
  </si>
  <si>
    <t>1.27mm单排6P</t>
  </si>
  <si>
    <t>电子元件</t>
  </si>
  <si>
    <t>si24R2F</t>
  </si>
  <si>
    <t>DEMO板</t>
  </si>
  <si>
    <t>FPC天线</t>
  </si>
  <si>
    <t>TX2400-FPC-6615</t>
  </si>
  <si>
    <t>胶棒天线</t>
  </si>
  <si>
    <t>TX2400-JKS-IPX20</t>
  </si>
  <si>
    <t>热敏电阻</t>
  </si>
  <si>
    <t>MF55 B3380</t>
  </si>
  <si>
    <t>磁铁</t>
  </si>
  <si>
    <t>直径6mm,厚5mm</t>
  </si>
  <si>
    <t>强力磁铁</t>
  </si>
  <si>
    <t>20*10*2mm</t>
  </si>
  <si>
    <t>镀锌铁片</t>
  </si>
  <si>
    <t>150*15*0.3mm</t>
  </si>
  <si>
    <t>耐高温胶</t>
  </si>
  <si>
    <t>588红胶</t>
  </si>
  <si>
    <t>PVC全封闭线槽</t>
  </si>
  <si>
    <t>60*40（10米）</t>
  </si>
  <si>
    <t>泡面</t>
  </si>
  <si>
    <t>12桶</t>
  </si>
  <si>
    <t>联想小新14C</t>
  </si>
  <si>
    <t>转接板</t>
  </si>
  <si>
    <t>翻盖下接+直排针 6P</t>
  </si>
  <si>
    <t>翻盖下接+直排针 12P</t>
  </si>
  <si>
    <t>0.8mm*100</t>
  </si>
  <si>
    <t>钢片</t>
  </si>
  <si>
    <t>50组</t>
  </si>
  <si>
    <t>主板+线材附件</t>
  </si>
  <si>
    <t>ADC模块</t>
  </si>
  <si>
    <t>1M AD7606C-SMA</t>
  </si>
  <si>
    <t>蓝牙传模块</t>
  </si>
  <si>
    <t>9141-A BLE-TPT-A-ANT</t>
  </si>
  <si>
    <t>油墨罐</t>
  </si>
  <si>
    <t>300ml黑色</t>
  </si>
  <si>
    <t>150ml黑色</t>
  </si>
  <si>
    <t>不锈钢圆片</t>
  </si>
  <si>
    <t>8*1mm（100片）</t>
  </si>
  <si>
    <t>快劳夹</t>
  </si>
  <si>
    <t>315*285*55mm</t>
  </si>
  <si>
    <t>黑色1.5M</t>
  </si>
  <si>
    <t>783-A</t>
  </si>
  <si>
    <t>慢干水</t>
  </si>
  <si>
    <t>12V 1A</t>
  </si>
  <si>
    <t>得力标签</t>
  </si>
  <si>
    <t>50*30</t>
  </si>
  <si>
    <t>烧录夹</t>
  </si>
  <si>
    <t>1。27mm；单排；4P</t>
  </si>
  <si>
    <t>工控机</t>
  </si>
  <si>
    <t xml:space="preserve">N100 8G 128G </t>
  </si>
  <si>
    <t>路由器</t>
  </si>
  <si>
    <t>TL-XDR3010</t>
  </si>
  <si>
    <t>绝缘电木板</t>
  </si>
  <si>
    <t>镍片</t>
  </si>
  <si>
    <t>静电服</t>
  </si>
  <si>
    <t>白色L;XL</t>
  </si>
  <si>
    <t>HP墨水</t>
  </si>
  <si>
    <t>中性笔</t>
  </si>
  <si>
    <t>红色12支</t>
  </si>
  <si>
    <t>蓝色6支</t>
  </si>
  <si>
    <t>铅笔</t>
  </si>
  <si>
    <t>2B 20支</t>
  </si>
  <si>
    <t>记号笔</t>
  </si>
  <si>
    <t>6黑+3红+3蓝</t>
  </si>
  <si>
    <t>直尺</t>
  </si>
  <si>
    <t>3把装</t>
  </si>
  <si>
    <t>便利贴</t>
  </si>
  <si>
    <t>76*76mm500张</t>
  </si>
  <si>
    <t>美纹胶带</t>
  </si>
  <si>
    <t>12mm*50</t>
  </si>
  <si>
    <t>60mm*50</t>
  </si>
  <si>
    <t>垃圾袋</t>
  </si>
  <si>
    <t>70*90</t>
  </si>
  <si>
    <t>实验记录本</t>
  </si>
  <si>
    <t>棕色</t>
  </si>
  <si>
    <t>21*21cm</t>
  </si>
  <si>
    <t>收纳盒</t>
  </si>
  <si>
    <t>3个装</t>
  </si>
  <si>
    <t>交换机</t>
  </si>
  <si>
    <t>48V加强</t>
  </si>
  <si>
    <t>分离器</t>
  </si>
  <si>
    <t>48V转12V（2只装）</t>
  </si>
  <si>
    <t>60*80</t>
  </si>
  <si>
    <t>防溅水龙头</t>
  </si>
  <si>
    <t>黄色加宽（2个装）</t>
  </si>
  <si>
    <t>高温胶带</t>
  </si>
  <si>
    <t>50mm*33m</t>
  </si>
  <si>
    <t>25mm*33m</t>
  </si>
  <si>
    <t>砂纸</t>
  </si>
  <si>
    <t>10公分4000目</t>
  </si>
  <si>
    <t>10公分5000目</t>
  </si>
  <si>
    <t>10公分7000目</t>
  </si>
  <si>
    <t>砝码</t>
  </si>
  <si>
    <t>F1级1mg~500mg</t>
  </si>
  <si>
    <t>TL-SF1009P</t>
  </si>
  <si>
    <t>模块</t>
  </si>
  <si>
    <t>室外款</t>
  </si>
  <si>
    <t>TL-WDR5620</t>
  </si>
  <si>
    <t>智能锁</t>
  </si>
  <si>
    <t>网络延长线</t>
  </si>
  <si>
    <t>0.3m</t>
  </si>
  <si>
    <t>网线钳+测试套装</t>
  </si>
  <si>
    <t>超五类镀金水晶头</t>
  </si>
  <si>
    <t>100个（盒）</t>
  </si>
  <si>
    <t>100M</t>
  </si>
  <si>
    <t>微流控芯片基础与应用</t>
  </si>
  <si>
    <t>理科</t>
  </si>
  <si>
    <t>网口服务器</t>
  </si>
  <si>
    <t>以太网转CAN</t>
  </si>
  <si>
    <t>通信模块</t>
  </si>
  <si>
    <t>CAN转TTL</t>
  </si>
  <si>
    <t>Ecoflex硅胶</t>
  </si>
  <si>
    <t>00-30票</t>
  </si>
  <si>
    <t>压力传感器检测模组</t>
  </si>
  <si>
    <t>MY2801</t>
  </si>
  <si>
    <t>MY2802</t>
  </si>
  <si>
    <t>导热硅脂</t>
  </si>
  <si>
    <t>19.5W/MK</t>
  </si>
  <si>
    <t>10Pin</t>
  </si>
  <si>
    <t>4P;20cm绞线；双头反向</t>
  </si>
  <si>
    <t>乳白色403035/450mA</t>
  </si>
  <si>
    <t>拖把替换布</t>
  </si>
  <si>
    <t>抹布</t>
  </si>
  <si>
    <t>12条30*40</t>
  </si>
  <si>
    <t>玻璃清洁剂</t>
  </si>
  <si>
    <t>5瓶装</t>
  </si>
  <si>
    <t>地面清洁剂</t>
  </si>
  <si>
    <t>3.78L</t>
  </si>
  <si>
    <t>工具套装</t>
  </si>
  <si>
    <t>10P;焊1.0翻盖下接+直排针</t>
  </si>
  <si>
    <t>8P;焊1.0翻盖下接+直排针</t>
  </si>
  <si>
    <t>6P;焊1.0翻盖下接+直排针</t>
  </si>
  <si>
    <t>4P;焊1.0翻盖下接+直排针</t>
  </si>
  <si>
    <t>18P;焊好0.5座子+双排直针</t>
  </si>
  <si>
    <t>8P;焊好0.5座子+双排直针</t>
  </si>
  <si>
    <t>6P;焊好0.5座子+双排直针</t>
  </si>
  <si>
    <t>墨盒</t>
  </si>
  <si>
    <t>黑色粉盒-2000页</t>
  </si>
  <si>
    <t>5*7；14*20；25*35（各100只）</t>
  </si>
  <si>
    <t>总线网关</t>
  </si>
  <si>
    <t>GCAN-212</t>
  </si>
  <si>
    <t>收发模块</t>
  </si>
  <si>
    <t>TTL转CAN(导轨式）</t>
  </si>
  <si>
    <t>电源延长线</t>
  </si>
  <si>
    <t>0.1米超薄旋转折叠两脚插头</t>
  </si>
  <si>
    <t>电动牙刷</t>
  </si>
  <si>
    <t>小米</t>
  </si>
  <si>
    <t>日本理化热电偶</t>
  </si>
  <si>
    <t>ST-50</t>
  </si>
  <si>
    <t>氧化镓</t>
  </si>
  <si>
    <t>99.8% 5g</t>
  </si>
  <si>
    <t>镓铟合金</t>
  </si>
  <si>
    <t>16度 50g</t>
  </si>
  <si>
    <t>减压阀转接口</t>
  </si>
  <si>
    <t>出口快插8毫米</t>
  </si>
  <si>
    <t>电脑主机</t>
  </si>
  <si>
    <t>I3-13100F</t>
  </si>
  <si>
    <t>显示器</t>
  </si>
  <si>
    <t>AOC 23.8 IPS</t>
  </si>
  <si>
    <t>铝箔称量皿</t>
  </si>
  <si>
    <t>小号50/个（盒）</t>
  </si>
  <si>
    <t>不锈钢过滤网</t>
  </si>
  <si>
    <t>40目/0.45毫米/0.19毫米丝径</t>
  </si>
  <si>
    <t>30*10*3mm(20)</t>
  </si>
  <si>
    <t>烷酮</t>
  </si>
  <si>
    <t>NMP  5KG</t>
  </si>
  <si>
    <t>电动牙刷拆机工具</t>
  </si>
  <si>
    <t>电动牙刷传感器</t>
  </si>
  <si>
    <t>蓝色</t>
  </si>
  <si>
    <t>无线鼠标</t>
  </si>
  <si>
    <t>罗技M185</t>
  </si>
  <si>
    <t>无线接收器</t>
  </si>
  <si>
    <t>三插孔带开关 1M</t>
  </si>
  <si>
    <t xml:space="preserve">得力 </t>
  </si>
  <si>
    <t>胶棒</t>
  </si>
  <si>
    <t>36g 4支</t>
  </si>
  <si>
    <t>板夹</t>
  </si>
  <si>
    <t>得力加厚</t>
  </si>
  <si>
    <t>20ml*5支</t>
  </si>
  <si>
    <t>螺丝</t>
  </si>
  <si>
    <t>M3*12(100个）</t>
  </si>
  <si>
    <t>绝缘柱垫片</t>
  </si>
  <si>
    <t>5*3*4（200个）</t>
  </si>
  <si>
    <t>螺丝刀套装</t>
  </si>
  <si>
    <t>一次性吸管</t>
  </si>
  <si>
    <t>2ml,1000支</t>
  </si>
  <si>
    <t>防爆柜隔板</t>
  </si>
  <si>
    <t>试剂托盘</t>
  </si>
  <si>
    <t>33*43*3.5</t>
  </si>
  <si>
    <t>亚克力盒子</t>
  </si>
  <si>
    <t>92.5*140*38</t>
  </si>
  <si>
    <t>混装</t>
  </si>
  <si>
    <t>鲜虾鱼板</t>
  </si>
  <si>
    <t>90*100特厚款</t>
  </si>
  <si>
    <t>100*100mm</t>
  </si>
  <si>
    <t>刮胶条</t>
  </si>
  <si>
    <t>35*5</t>
  </si>
  <si>
    <t>XXL</t>
  </si>
  <si>
    <t>KN95带阀</t>
  </si>
  <si>
    <t>CR1620-2带脚（5粒）</t>
  </si>
  <si>
    <t>1.27mm；单排；6P</t>
  </si>
  <si>
    <t>简牛彩排线</t>
  </si>
  <si>
    <t>8P（2*4)</t>
  </si>
  <si>
    <t>爱马斯进口（100只/盒）</t>
  </si>
  <si>
    <t>防粘涂料</t>
  </si>
  <si>
    <t>检测模组</t>
  </si>
  <si>
    <t>MY2801搭配D9F-40</t>
  </si>
  <si>
    <t>罗技M220</t>
  </si>
  <si>
    <t>代码下载器</t>
  </si>
  <si>
    <t>有保护套ST-LINK+杜邦线</t>
  </si>
  <si>
    <t>耐高温数据线</t>
  </si>
  <si>
    <t>冰川蓝180°1M</t>
  </si>
  <si>
    <t>10Gbps</t>
  </si>
  <si>
    <t>手持均质机</t>
  </si>
  <si>
    <t>HR-6B(配6G刀头）</t>
  </si>
  <si>
    <t>压力显示器</t>
  </si>
  <si>
    <t>CMCU-05B</t>
  </si>
  <si>
    <t>桌面式小型覆膜机</t>
  </si>
  <si>
    <t>i9350T调速款</t>
  </si>
  <si>
    <t>A4打印纸</t>
  </si>
  <si>
    <t>70g 2500张（5包）</t>
  </si>
  <si>
    <t>棕色样品瓶</t>
  </si>
  <si>
    <t>5ml(10个）</t>
  </si>
  <si>
    <t>14P；1.0翻盖下接+直针</t>
  </si>
  <si>
    <t>实验室袖套</t>
  </si>
  <si>
    <t>黑色2双</t>
  </si>
  <si>
    <t>白大褂</t>
  </si>
  <si>
    <t>XL*3;2XL*2;3XL*1</t>
  </si>
  <si>
    <t>不锈钢垫片</t>
  </si>
  <si>
    <t>FPC软排线</t>
  </si>
  <si>
    <t>28P;1.0MM;同向</t>
  </si>
  <si>
    <t>5号电池盒</t>
  </si>
  <si>
    <t>可充电电池和电池盒</t>
  </si>
  <si>
    <t>理化热电偶</t>
  </si>
  <si>
    <t>防静电滚轮</t>
  </si>
  <si>
    <t>CR1620-2(2粒装）</t>
  </si>
  <si>
    <t>饮水机</t>
  </si>
  <si>
    <t>奥克斯</t>
  </si>
  <si>
    <t>管道风机</t>
  </si>
  <si>
    <t>艾美特</t>
  </si>
  <si>
    <t>耐高温排烟软管</t>
  </si>
  <si>
    <t>150mm*2M</t>
  </si>
  <si>
    <t>201不锈钢抱箍</t>
  </si>
  <si>
    <t>200mm</t>
  </si>
  <si>
    <t>125mm</t>
  </si>
  <si>
    <t>排风管转换接头</t>
  </si>
  <si>
    <t>80*200</t>
  </si>
  <si>
    <t>吸尘管软管</t>
  </si>
  <si>
    <t>集成电路</t>
  </si>
  <si>
    <t>DAC43204RTER</t>
  </si>
  <si>
    <t>一次性针头</t>
  </si>
  <si>
    <t>25G红色</t>
  </si>
  <si>
    <t>螺柱</t>
  </si>
  <si>
    <t>M3(20个/包）</t>
  </si>
  <si>
    <t>亚克力盒</t>
  </si>
  <si>
    <t>135*85*18</t>
  </si>
  <si>
    <t>拖把</t>
  </si>
  <si>
    <t>体温计</t>
  </si>
  <si>
    <t>文件袋</t>
  </si>
  <si>
    <t>11孔特厚</t>
  </si>
  <si>
    <t>加厚文件袋</t>
  </si>
  <si>
    <t>A4斜纹加厚（5个装）</t>
  </si>
  <si>
    <t>可调节支撑脚</t>
  </si>
  <si>
    <t>8-12cm</t>
  </si>
  <si>
    <t>防静电台面板</t>
  </si>
  <si>
    <t>80*60*2.5</t>
  </si>
  <si>
    <t>三层50*9平口75*80*75</t>
  </si>
  <si>
    <t>石墨烯浆</t>
  </si>
  <si>
    <t>100g nmp</t>
  </si>
  <si>
    <t>石墨烯碳管复合浆</t>
  </si>
  <si>
    <t>100g 6%nmp</t>
  </si>
  <si>
    <t>滚轮</t>
  </si>
  <si>
    <t>外壳</t>
  </si>
  <si>
    <t>25套（壳+盖）</t>
  </si>
  <si>
    <t>CR1620-2带脚(5粒装）</t>
  </si>
  <si>
    <t>4P彩排线</t>
  </si>
  <si>
    <t>4P；150mm；单头（尾部镀锡）</t>
  </si>
  <si>
    <t>出货章</t>
  </si>
  <si>
    <t>铜制</t>
  </si>
  <si>
    <t>绿联100W快充（买一送一）</t>
  </si>
  <si>
    <t>特厚1000只</t>
  </si>
  <si>
    <t>鞋套</t>
  </si>
  <si>
    <t>2000只</t>
  </si>
  <si>
    <t>FPC排线</t>
  </si>
  <si>
    <t>10P 3CM同向</t>
  </si>
  <si>
    <t>11P 3CM同向</t>
  </si>
  <si>
    <t>得力黑色（12支/盒）</t>
  </si>
  <si>
    <t>显微镜配套液晶</t>
  </si>
  <si>
    <t>分屏器</t>
  </si>
  <si>
    <t>万向臂支架</t>
  </si>
  <si>
    <t>电子显微镜</t>
  </si>
  <si>
    <t>GP-750H万向长臂+飞利浦23.8显示屏</t>
  </si>
  <si>
    <t>GP-750H万向长臂+2K高清+内置测量+U盘存储</t>
  </si>
  <si>
    <t>钢珠</t>
  </si>
  <si>
    <t>强力磁石</t>
  </si>
  <si>
    <t>8mm*3mm</t>
  </si>
  <si>
    <t>镀锌贴片</t>
  </si>
  <si>
    <t>150*10*0.3mm</t>
  </si>
  <si>
    <t>嘉宝莉慢干水</t>
  </si>
  <si>
    <t>黄油润滑脂</t>
  </si>
  <si>
    <t>50g黄色一支</t>
  </si>
  <si>
    <t>黑色油墨罐</t>
  </si>
  <si>
    <t>黑色油墨桶</t>
  </si>
  <si>
    <t>3L</t>
  </si>
  <si>
    <t>耐高温玻璃纤维板</t>
  </si>
  <si>
    <t>300*400*0.8mm</t>
  </si>
  <si>
    <t>工业油污洗手液</t>
  </si>
  <si>
    <t>2L</t>
  </si>
  <si>
    <t>游标卡尺数显</t>
  </si>
  <si>
    <t>0-150mm</t>
  </si>
  <si>
    <t>震动工装</t>
  </si>
  <si>
    <t>16*37*37</t>
  </si>
  <si>
    <t>1mm（100只）</t>
  </si>
  <si>
    <t>线束胶带</t>
  </si>
  <si>
    <t>19mm宽*15M长（5卷）</t>
  </si>
  <si>
    <t>缩焊锡环</t>
  </si>
  <si>
    <t>0.25-0.34mm（100只）</t>
  </si>
  <si>
    <t>适配器</t>
  </si>
  <si>
    <t>12V开关电源</t>
  </si>
  <si>
    <t>DC线</t>
  </si>
  <si>
    <t>0.5间距-4P转1.0间距</t>
  </si>
  <si>
    <t>20cm*30cm*500张</t>
  </si>
  <si>
    <t>无尘碎布</t>
  </si>
  <si>
    <t>20-50cm40斤</t>
  </si>
  <si>
    <t>30*40cm</t>
  </si>
  <si>
    <t>螺旋罐</t>
  </si>
  <si>
    <t>500ml黑色</t>
  </si>
  <si>
    <t>10P和11P 同向及反向 均40cm，各5根</t>
  </si>
  <si>
    <t>跳帽 2.54间距</t>
  </si>
  <si>
    <t>红，绿，黄，黑各100</t>
  </si>
  <si>
    <t>滑动变阻器</t>
  </si>
  <si>
    <t>W103   10K</t>
  </si>
  <si>
    <t>漆包线</t>
  </si>
  <si>
    <t>红蓝双色（100M)</t>
  </si>
  <si>
    <t>金绿双色</t>
  </si>
  <si>
    <t>四氧化三铁</t>
  </si>
  <si>
    <t>50g(50纳米）</t>
  </si>
  <si>
    <t>8*1（100片）</t>
  </si>
  <si>
    <t>一次性纸杯</t>
  </si>
  <si>
    <t>230ml-60只</t>
  </si>
  <si>
    <t>雀巢速溶咖啡</t>
  </si>
  <si>
    <t>100条</t>
  </si>
  <si>
    <t>卷尺</t>
  </si>
  <si>
    <t>3M*19MM</t>
  </si>
  <si>
    <t>垫片/顶丝/螺丝</t>
  </si>
  <si>
    <t>景天饮用水</t>
  </si>
  <si>
    <t>360ml*24瓶</t>
  </si>
  <si>
    <t>座椅皮套</t>
  </si>
  <si>
    <t>34cm-36cm(2个装）</t>
  </si>
  <si>
    <t>清风抽纸</t>
  </si>
  <si>
    <t>80抽*24包</t>
  </si>
  <si>
    <t>A4板夹灰色</t>
  </si>
  <si>
    <t>加厚3mm</t>
  </si>
  <si>
    <t>黑色硅胶线</t>
  </si>
  <si>
    <t>30AWG/32AWG  10米</t>
  </si>
  <si>
    <t>7*1/7*2</t>
  </si>
  <si>
    <t>小锯条</t>
  </si>
  <si>
    <t>6寸长150mm（5根）</t>
  </si>
  <si>
    <t>32*50（100个）</t>
  </si>
  <si>
    <t>PE袋</t>
  </si>
  <si>
    <t>30*50（100个）</t>
  </si>
  <si>
    <t>温度传感器</t>
  </si>
  <si>
    <t>50K 水滴型</t>
  </si>
  <si>
    <t>10K 水滴型</t>
  </si>
  <si>
    <t>5K 水滴型</t>
  </si>
  <si>
    <t>聚四氟搅拌桨</t>
  </si>
  <si>
    <t>350/8/68mm</t>
  </si>
  <si>
    <t>EDOT</t>
  </si>
  <si>
    <t>100g</t>
  </si>
  <si>
    <t>防爆柜（PVC板）</t>
  </si>
  <si>
    <t>20*30</t>
  </si>
  <si>
    <t>防爆柜安全使用规范（PVC板）</t>
  </si>
  <si>
    <t>注意通风</t>
  </si>
  <si>
    <t>排插防水盒</t>
  </si>
  <si>
    <t>中号，透明</t>
  </si>
  <si>
    <t>开关插座防水罩盖</t>
  </si>
  <si>
    <t>86型双联雅白（黏贴款）</t>
  </si>
  <si>
    <t>100K 水滴型 引线500MM</t>
  </si>
  <si>
    <t>半圆硅胶球</t>
  </si>
  <si>
    <t>50mm</t>
  </si>
  <si>
    <t>80mm</t>
  </si>
  <si>
    <t>湿度计</t>
  </si>
  <si>
    <t>日历版温度湿计</t>
  </si>
  <si>
    <t>不锈钢镊子</t>
  </si>
  <si>
    <t>棉签</t>
  </si>
  <si>
    <t>100支*12袋</t>
  </si>
  <si>
    <t>黑色铁氟龙线</t>
  </si>
  <si>
    <t>黑色；32awg;10m</t>
  </si>
  <si>
    <t>过滤筛网</t>
  </si>
  <si>
    <t>尼龙网 80目 一米宽</t>
  </si>
  <si>
    <t>有机玻璃</t>
  </si>
  <si>
    <t>外径50高300</t>
  </si>
  <si>
    <t>3KG</t>
  </si>
  <si>
    <t>BYK111分散剂</t>
  </si>
  <si>
    <t>FOD包装袋</t>
  </si>
  <si>
    <t>25cm*40cm(100只装）</t>
  </si>
  <si>
    <t>SP-7533胶水</t>
  </si>
  <si>
    <t>耐高温手套</t>
  </si>
  <si>
    <t>36cm长手掌耐350度 S533</t>
  </si>
  <si>
    <t>0.5mm间距</t>
  </si>
  <si>
    <t>蠕动泵用硅胶软管</t>
  </si>
  <si>
    <t>18#</t>
  </si>
  <si>
    <t>玻璃瓶</t>
  </si>
  <si>
    <t>POMEX【中性料】1000ml 10个</t>
  </si>
  <si>
    <t>烧杯</t>
  </si>
  <si>
    <t>低形烧杯1000ml</t>
  </si>
  <si>
    <t>蠕动泵</t>
  </si>
  <si>
    <t>LC-VSP-YZ15A</t>
  </si>
  <si>
    <t>反应釜</t>
  </si>
  <si>
    <t>SMT/S212-3L</t>
  </si>
  <si>
    <t>XAD-4树脂</t>
  </si>
  <si>
    <t>大孔树脂XAD-4 国产500克</t>
  </si>
  <si>
    <t>ThinkPAD X1 酷睿U7 32G 1TB固态</t>
  </si>
  <si>
    <t>有机玻璃层析柱</t>
  </si>
  <si>
    <t xml:space="preserve">硅橡胶半球 </t>
  </si>
  <si>
    <t>10mm硅胶半圆球（10个）</t>
  </si>
  <si>
    <t>小号，10把送10个刀片</t>
  </si>
  <si>
    <t>双头记号笔-黑</t>
  </si>
  <si>
    <t>12支/盒</t>
  </si>
  <si>
    <t>南孚碱性电池5号</t>
  </si>
  <si>
    <t>20粒</t>
  </si>
  <si>
    <t>4芯屏蔽线</t>
  </si>
  <si>
    <t>2547 截面面积为22AWG 5米 黑色</t>
  </si>
  <si>
    <t>蓝牙透传模块</t>
  </si>
  <si>
    <t>万用表表笔</t>
  </si>
  <si>
    <t>20A不锈钢表笔（特尖）</t>
  </si>
  <si>
    <t>数显千分表</t>
  </si>
  <si>
    <t>千分表0-12高精款</t>
  </si>
  <si>
    <t>20*30cm(100只）</t>
  </si>
  <si>
    <t>12*18cm（100只）</t>
  </si>
  <si>
    <t>7*10cm（100只）</t>
  </si>
  <si>
    <t>串口线</t>
  </si>
  <si>
    <t>USB转232[FTDI芯片] 1米</t>
  </si>
  <si>
    <t>转换线</t>
  </si>
  <si>
    <t>USB转RS485串口线[CH340芯片] 1米</t>
  </si>
  <si>
    <t>转换器</t>
  </si>
  <si>
    <t>USB转RS485/422[工业级] 1.5m</t>
  </si>
  <si>
    <t>一次性针筒</t>
  </si>
  <si>
    <t>1ml（100支）</t>
  </si>
  <si>
    <t>指尖传感器</t>
  </si>
  <si>
    <t>Elite系列-S2015</t>
  </si>
  <si>
    <t>串口转接板</t>
  </si>
  <si>
    <t>小米净水器</t>
  </si>
  <si>
    <t>复合滤芯PPC7</t>
  </si>
  <si>
    <t>胶水</t>
  </si>
  <si>
    <t>CT887</t>
  </si>
  <si>
    <t>STM32G431KBU6芯片</t>
  </si>
  <si>
    <t>STM32G431KBU6</t>
  </si>
  <si>
    <t>包装罐</t>
  </si>
  <si>
    <t>5L</t>
  </si>
  <si>
    <t>工作证双面卡套</t>
  </si>
  <si>
    <t>红色</t>
  </si>
  <si>
    <t>卡K士</t>
  </si>
  <si>
    <t>A4 蓝色（10个装）</t>
  </si>
  <si>
    <t>黄色离型纸</t>
  </si>
  <si>
    <t>250*50mm</t>
  </si>
  <si>
    <t>气管接头PP20</t>
  </si>
  <si>
    <t>PP20公头接8*5管</t>
  </si>
  <si>
    <t>8转6气管接头</t>
  </si>
  <si>
    <t>APUG8-6mm</t>
  </si>
  <si>
    <t>4P；300mm；单头（尾部镀锡）</t>
  </si>
  <si>
    <t>九宫格收纳盒</t>
  </si>
  <si>
    <t>月光白</t>
  </si>
  <si>
    <t>微波炉</t>
  </si>
  <si>
    <t>美的</t>
  </si>
  <si>
    <t>FPC连接器</t>
  </si>
  <si>
    <t>FH29DJ-90S-0.2SHW</t>
  </si>
  <si>
    <t>清洗剂</t>
  </si>
  <si>
    <t>5KG</t>
  </si>
  <si>
    <t>ST-50/包(5条)</t>
  </si>
  <si>
    <t>W-104</t>
  </si>
  <si>
    <t>振动力学</t>
  </si>
  <si>
    <t>医用级，耐用款</t>
  </si>
  <si>
    <t>螺旋管</t>
  </si>
  <si>
    <t>30ML黑色</t>
  </si>
  <si>
    <t>80L 灰色无盖无轮子送垃圾袋</t>
  </si>
  <si>
    <t>南孚电池</t>
  </si>
  <si>
    <t>7号 （20粒/盒）</t>
  </si>
  <si>
    <t>保洁抹布</t>
  </si>
  <si>
    <t>30*40 （混色10条）</t>
  </si>
  <si>
    <t>回形针</t>
  </si>
  <si>
    <t>银色 20盒送10个长尾夹</t>
  </si>
  <si>
    <t>得力笔筒</t>
  </si>
  <si>
    <t xml:space="preserve">丝柔4层80抽*18包S码 </t>
  </si>
  <si>
    <t>FFC/FPC软排线</t>
  </si>
  <si>
    <t>4P同向 1.0mm间距 长50mm (5条)</t>
  </si>
  <si>
    <t>300ML黑色</t>
  </si>
  <si>
    <t>螺丝刀</t>
  </si>
  <si>
    <t>【铬钒钢】精密维修45件套</t>
  </si>
  <si>
    <t>锂电池保护板</t>
  </si>
  <si>
    <t>1串3.7V 2.5A</t>
  </si>
  <si>
    <t>PD诱骗模块</t>
  </si>
  <si>
    <t>9V输出</t>
  </si>
  <si>
    <t>螺丝垫片</t>
  </si>
  <si>
    <t>M6*20*1/M6*15*1/M5*20*1/M5*15*1</t>
  </si>
  <si>
    <t>应变展示工装</t>
  </si>
  <si>
    <t>达因测试笔</t>
  </si>
  <si>
    <t>（38/40/42）*1</t>
  </si>
  <si>
    <t>重型工作台</t>
  </si>
  <si>
    <t xml:space="preserve">长150*宽100*高80cm </t>
  </si>
  <si>
    <t>长160*宽80*高80厘米</t>
  </si>
  <si>
    <t>fpc软排线</t>
  </si>
  <si>
    <t>28P 1.0MM FFC扁平线延长 15cm同向</t>
  </si>
  <si>
    <t>CY8CPROTO-062S3-4343W</t>
  </si>
  <si>
    <t>集成电路 寄嘉立创</t>
  </si>
  <si>
    <t>12V开关电源【USR-DC/12V/1A-CCC-DY】</t>
  </si>
  <si>
    <t>加厚（2000只）</t>
  </si>
  <si>
    <t>8味12桶</t>
  </si>
  <si>
    <t>PE缠绕膜</t>
  </si>
  <si>
    <t>宽12cm*8卷</t>
  </si>
  <si>
    <t>指尖/指腹传感器</t>
  </si>
  <si>
    <t>PX6AX-GEN3-DP-S2716-Core</t>
  </si>
  <si>
    <t>ST 单片机</t>
  </si>
  <si>
    <t>STM32F373CCT6</t>
  </si>
  <si>
    <t>塑料烧杯</t>
  </si>
  <si>
    <t>直把2000ml</t>
  </si>
  <si>
    <t>直把1000ml</t>
  </si>
  <si>
    <t>滤芯1</t>
  </si>
  <si>
    <t>树脂柱</t>
  </si>
  <si>
    <t>滤芯2</t>
  </si>
  <si>
    <t>PP棉</t>
  </si>
  <si>
    <t>滤芯3</t>
  </si>
  <si>
    <t>RO膜+壳（10-15L）</t>
  </si>
  <si>
    <t>鳄鱼夹</t>
  </si>
  <si>
    <t>小号红色5个+黑色5个</t>
  </si>
  <si>
    <t>usb转RS485</t>
  </si>
  <si>
    <t>六合一多功能串口模块</t>
  </si>
  <si>
    <t>电脑充电头</t>
  </si>
  <si>
    <t>6号充电器mini+1.5米C-C编织数据线</t>
  </si>
  <si>
    <t>数据线micro</t>
  </si>
  <si>
    <t>经典款</t>
  </si>
  <si>
    <t>U盘</t>
  </si>
  <si>
    <t>64G</t>
  </si>
  <si>
    <t>usb数据线</t>
  </si>
  <si>
    <t>云柔紫 180°（直头）（1m）</t>
  </si>
  <si>
    <t>静电袋</t>
  </si>
  <si>
    <t>10*15cm(100只）</t>
  </si>
  <si>
    <t>6*9（100只）</t>
  </si>
  <si>
    <t>串口线公头</t>
  </si>
  <si>
    <t>9针公头国产CH9101芯片 （1m）</t>
  </si>
  <si>
    <t>80*200mm</t>
  </si>
  <si>
    <t>耐高温链条油</t>
  </si>
  <si>
    <t>HC-106B</t>
  </si>
  <si>
    <t>范育嘉</t>
  </si>
  <si>
    <t>碳酸铁锂电池电芯</t>
  </si>
  <si>
    <t>3.2V-54AH  6C放电</t>
  </si>
  <si>
    <t>肖海卓</t>
  </si>
  <si>
    <t>混床阴阳离子交换树脂</t>
  </si>
  <si>
    <t>原装进口（5升）</t>
  </si>
  <si>
    <t>胡太鑫</t>
  </si>
  <si>
    <t>茶水柜</t>
  </si>
  <si>
    <t>长68宽32</t>
  </si>
  <si>
    <t>史雅媛</t>
  </si>
  <si>
    <t>TPU布料</t>
  </si>
  <si>
    <t>0.1mm长0.5米</t>
  </si>
  <si>
    <t>开发数据板</t>
  </si>
  <si>
    <t>新款KSECG101-DK 嵌入式算法版本</t>
  </si>
  <si>
    <t>朱爽</t>
  </si>
  <si>
    <t>STM32G431CBU6</t>
  </si>
  <si>
    <t>魏桂鹏</t>
  </si>
  <si>
    <t>小号不锈钢抽子</t>
  </si>
  <si>
    <t>李毓骏</t>
  </si>
  <si>
    <t>灵脉治具</t>
  </si>
  <si>
    <t>侯康康</t>
  </si>
  <si>
    <t>巡天系列-家用爆款</t>
  </si>
  <si>
    <t>usb转RS232</t>
  </si>
  <si>
    <t>USB转RS232公头 1m</t>
  </si>
  <si>
    <t>连接器转接头</t>
  </si>
  <si>
    <t>RS232转RS485 【带光电隔离】</t>
  </si>
  <si>
    <t>防静电袋子</t>
  </si>
  <si>
    <t>8*15cm（100个/包±1-3个）</t>
  </si>
  <si>
    <t>6*10cm（100个/包±1-3个）</t>
  </si>
  <si>
    <t>WeAct USB转串口模块</t>
  </si>
  <si>
    <t>6Mbps5V/3.3VTTL CH343P调试烧录下载Type-C</t>
  </si>
  <si>
    <t>潘宇鹰</t>
  </si>
  <si>
    <t>100包/箱</t>
  </si>
  <si>
    <t>得力剪刀</t>
  </si>
  <si>
    <t>中号 5把装</t>
  </si>
  <si>
    <t>230ml*60只/袋</t>
  </si>
  <si>
    <t>清风抽纸丝柔4层80抽*18包</t>
  </si>
  <si>
    <t>吹风机</t>
  </si>
  <si>
    <t>黑色 【大风力速干】</t>
  </si>
  <si>
    <t>范田郴</t>
  </si>
  <si>
    <t>汽车座椅车载气动按摩系统</t>
  </si>
  <si>
    <t>宝马款四向独立腰托+14点按摩系统（黑开关）</t>
  </si>
  <si>
    <t>光引发剂</t>
  </si>
  <si>
    <t>安息香二甲醚(DMPA)</t>
  </si>
  <si>
    <t>1-烯丙基-3-甲基氯化咪唑</t>
  </si>
  <si>
    <t>1-烯丙基-3-甲基氯化咪唑 96%-25g</t>
  </si>
  <si>
    <t>棕色烧杯</t>
  </si>
  <si>
    <t>200ml</t>
  </si>
  <si>
    <t>365nm405nm395nmUV紫外线</t>
  </si>
  <si>
    <t>台式可调能量款-金钢透镜款-365nm-15W</t>
  </si>
  <si>
    <t>徐水力</t>
  </si>
  <si>
    <t>无极调光灯检箱【单面高亮款】</t>
  </si>
  <si>
    <t>60cm*40cm</t>
  </si>
  <si>
    <t>耐高温电木板</t>
  </si>
  <si>
    <t>300mm*400mm*1mm</t>
  </si>
  <si>
    <t>300mm*400mm*2mm</t>
  </si>
  <si>
    <t>工业级USB转串口转换器</t>
  </si>
  <si>
    <t>隔离型USB转485带3.3V和5V供电</t>
  </si>
  <si>
    <t>陶瓷研钵</t>
  </si>
  <si>
    <t>130mm</t>
  </si>
  <si>
    <t>闫佳瑞</t>
  </si>
  <si>
    <t>28P 70厘米长——1，0MM——同向</t>
  </si>
  <si>
    <t>周俊</t>
  </si>
  <si>
    <t>透明罩子</t>
  </si>
  <si>
    <t>宠物监测服饰项目</t>
  </si>
  <si>
    <t>通信模块核心板</t>
  </si>
  <si>
    <t xml:space="preserve">M100PG(DTU固件)贴片卡-带GPS+北斗测试套装 </t>
  </si>
  <si>
    <t>505060-2000毫安</t>
  </si>
  <si>
    <t>4G+GPS定位模块，内置天线+电池充电</t>
  </si>
  <si>
    <t>M100PG(DTU固件)贴片卡-带GPS+北斗</t>
  </si>
  <si>
    <t>STM32L051K8U6</t>
  </si>
  <si>
    <t>STM32L051C8T6</t>
  </si>
  <si>
    <t>药品</t>
  </si>
  <si>
    <t>PEDOT</t>
  </si>
  <si>
    <t>4-二甲氨基吡啶</t>
  </si>
  <si>
    <t>25g</t>
  </si>
  <si>
    <r>
      <rPr>
        <sz val="12"/>
        <rFont val="Calibri"/>
        <charset val="134"/>
      </rPr>
      <t>β</t>
    </r>
    <r>
      <rPr>
        <sz val="12"/>
        <rFont val="Calibri"/>
        <charset val="134"/>
      </rPr>
      <t>-</t>
    </r>
    <r>
      <rPr>
        <sz val="12"/>
        <rFont val="宋体"/>
        <charset val="134"/>
        <scheme val="minor"/>
      </rPr>
      <t>巯基乙胺</t>
    </r>
    <r>
      <rPr>
        <sz val="12"/>
        <rFont val="Calibri"/>
        <charset val="134"/>
      </rPr>
      <t xml:space="preserve"> </t>
    </r>
    <r>
      <rPr>
        <sz val="12"/>
        <rFont val="宋体"/>
        <charset val="134"/>
        <scheme val="minor"/>
      </rPr>
      <t>盐酸巯乙胺</t>
    </r>
  </si>
  <si>
    <t>力特USBRS422usb转串口</t>
  </si>
  <si>
    <t>1米</t>
  </si>
  <si>
    <t>科敏传感器</t>
  </si>
  <si>
    <t>聚苯胺</t>
  </si>
  <si>
    <t>RW-20260306S003</t>
  </si>
  <si>
    <t>B802083双三氟甲烷磺酰亚胺锂</t>
  </si>
  <si>
    <t>RW-20260228S001</t>
  </si>
  <si>
    <t>膜材</t>
  </si>
  <si>
    <t>广汽、舒井等项目使用</t>
  </si>
  <si>
    <t>0.05T 茶色PI膜</t>
  </si>
  <si>
    <t>520mm*200m</t>
  </si>
  <si>
    <t>RW-20260306S001</t>
  </si>
  <si>
    <t>0.125T 茶色PI膜</t>
  </si>
  <si>
    <t>曹冲</t>
  </si>
  <si>
    <t>传感器</t>
  </si>
  <si>
    <t>灵巧智能</t>
  </si>
  <si>
    <t>鑫精诚传感器</t>
  </si>
  <si>
    <t>XJC-Y18-5KG+XJC-608T-F-R4-V</t>
  </si>
  <si>
    <t>深圳市鑫精诚传感技术有限公司</t>
  </si>
  <si>
    <t>RW-20260306S002</t>
  </si>
  <si>
    <t>预付</t>
  </si>
  <si>
    <t>未开票</t>
  </si>
  <si>
    <t>已付款</t>
  </si>
  <si>
    <t>1-乙基-(3-二甲基氨基丙基)碳二亚胺盐酸盐</t>
  </si>
  <si>
    <t>耗材</t>
  </si>
  <si>
    <t>印刷</t>
  </si>
  <si>
    <t>95%乙醇</t>
  </si>
  <si>
    <t>20L</t>
  </si>
  <si>
    <t>苏州伍桥机电五金有限公司</t>
  </si>
  <si>
    <t>RW-20260309S001</t>
  </si>
  <si>
    <t>先款后货</t>
  </si>
  <si>
    <t>刮胶</t>
  </si>
  <si>
    <t>85度 2米/卷</t>
  </si>
  <si>
    <t>RW-20260310S001</t>
  </si>
  <si>
    <t>机加工</t>
  </si>
  <si>
    <t>灵巧指尖</t>
  </si>
  <si>
    <t>RW-20260310S002</t>
  </si>
  <si>
    <t>四指指尖硅胶件和贴合工序</t>
  </si>
  <si>
    <t>RW-20260310S003</t>
  </si>
  <si>
    <t>3-巯基丙酸 98%</t>
  </si>
  <si>
    <t>RW-20260311S001</t>
  </si>
  <si>
    <t>夏文娟</t>
  </si>
  <si>
    <t>公用</t>
  </si>
  <si>
    <t>硫辛酸</t>
  </si>
  <si>
    <t>1-乙基-3-甲基咪唑硫酸乙酯,99%</t>
  </si>
  <si>
    <t>未写明</t>
  </si>
  <si>
    <t>二甲基甲酰胺</t>
  </si>
  <si>
    <t>RW-20260312S001</t>
  </si>
  <si>
    <t>二甲基乙酰胺</t>
  </si>
  <si>
    <t>指尖标定结构工装</t>
  </si>
  <si>
    <t>灵巧手</t>
  </si>
  <si>
    <t>RW-20260312S002</t>
  </si>
  <si>
    <t>电子元器件</t>
  </si>
  <si>
    <t>广汽传感器项目(DAU25032)</t>
  </si>
  <si>
    <t>广汽14ECU线束</t>
  </si>
  <si>
    <t>按图纸制作</t>
  </si>
  <si>
    <t>pcs</t>
  </si>
  <si>
    <t>苏州库邦线束技术有限公司</t>
  </si>
  <si>
    <t>RW-20160313S001</t>
  </si>
  <si>
    <t>5月</t>
  </si>
  <si>
    <t>电子测量仪器配件</t>
  </si>
  <si>
    <t>四探针测试笔</t>
  </si>
  <si>
    <t>HPS58006D</t>
  </si>
  <si>
    <t>常州海尔帕科技有限公司</t>
  </si>
  <si>
    <t>HPS20260313919</t>
  </si>
  <si>
    <t>DAQ25017</t>
  </si>
  <si>
    <t>0.8刺破式端子线</t>
  </si>
  <si>
    <t>东莞开尔文电子科技有限公司</t>
  </si>
  <si>
    <t>260301601</t>
  </si>
  <si>
    <t>广汽传感器项目</t>
  </si>
  <si>
    <t>FPC 585*98和排线</t>
  </si>
  <si>
    <t>HRH-602-S4-FPC-V1.0大</t>
  </si>
  <si>
    <t>中山市东迪光电科技有限公司</t>
  </si>
  <si>
    <t>RW-20160311S004</t>
  </si>
  <si>
    <t>HRH-602-S4-FPC-V1.0小</t>
  </si>
  <si>
    <t>灵巧项目</t>
  </si>
  <si>
    <t>硅胶/压克力双面胶</t>
  </si>
  <si>
    <t>0.1mm*250mm*200m</t>
  </si>
  <si>
    <t>苏州益本电子材料有限公司</t>
  </si>
  <si>
    <t>RW-20260316S001</t>
  </si>
  <si>
    <t>已开票</t>
  </si>
  <si>
    <t>广汽传感器项目（DAU25032)</t>
  </si>
  <si>
    <t>DC5.5*2.1电源转接头</t>
  </si>
  <si>
    <t>SBD25007 机科</t>
  </si>
  <si>
    <t>数字电位器</t>
  </si>
  <si>
    <t>AD5248BRMZ100 100k</t>
  </si>
  <si>
    <t>电子配件</t>
  </si>
  <si>
    <t>电子室展示桌面需求</t>
  </si>
  <si>
    <t>显示器支架</t>
  </si>
  <si>
    <t>入门款黑适配承重10KG</t>
  </si>
  <si>
    <t>4口黑色H4928 -带12V/2A电源适配器</t>
  </si>
  <si>
    <t>彩排杜邦线</t>
  </si>
  <si>
    <t>21CM/母对公/40P杜邦线</t>
  </si>
  <si>
    <t>21CM/母对母/40P杜邦线</t>
  </si>
  <si>
    <t>21CM/公对公/40P杜邦线</t>
  </si>
  <si>
    <t>插座类</t>
  </si>
  <si>
    <t>插排（带usb）</t>
  </si>
  <si>
    <t>【热销】20W+6位1.5米-黑色</t>
  </si>
  <si>
    <t>27英寸4K旋转升降type-c显示器</t>
  </si>
  <si>
    <t>实验室器皿</t>
  </si>
  <si>
    <t>二口圆底烧瓶</t>
  </si>
  <si>
    <t>【斜口】25ml/24*24</t>
  </si>
  <si>
    <t>张彦辉</t>
  </si>
  <si>
    <t>应变传感器</t>
  </si>
  <si>
    <t>弯曲传感器</t>
  </si>
  <si>
    <t>国产改进款flex2.2弯曲传感器电阻值25K</t>
  </si>
  <si>
    <t>原装进口现货flex2.2弯曲传感器</t>
  </si>
  <si>
    <t>电子五金件</t>
  </si>
  <si>
    <t>SA00326005</t>
  </si>
  <si>
    <t>贴片螺母</t>
  </si>
  <si>
    <t>M1.0*2.3*1.3+1.5*0.7(1个）</t>
  </si>
  <si>
    <t>DAX25026P1V1.1</t>
  </si>
  <si>
    <t>科敏</t>
  </si>
  <si>
    <t>FPC</t>
  </si>
  <si>
    <t>90P 0.2mm 翻盖下接</t>
  </si>
  <si>
    <t>数模转换器</t>
  </si>
  <si>
    <t>段成成</t>
  </si>
  <si>
    <t>包装容器类</t>
  </si>
  <si>
    <t>黑色罐子</t>
  </si>
  <si>
    <t>1L-黑色-配内盖</t>
  </si>
  <si>
    <t>液态金属油墨</t>
  </si>
  <si>
    <t>30g 990M</t>
  </si>
  <si>
    <t>沈建华</t>
  </si>
  <si>
    <t>维修费</t>
  </si>
  <si>
    <t>柔微压排机屏维修费</t>
  </si>
  <si>
    <t>原材料</t>
  </si>
  <si>
    <t>新品试验</t>
  </si>
  <si>
    <t>荧光粉</t>
  </si>
  <si>
    <t>（白/绿/蓝/黄）*1</t>
  </si>
  <si>
    <t>袋</t>
  </si>
  <si>
    <t>DAX25026</t>
  </si>
  <si>
    <t>朱红飞</t>
  </si>
  <si>
    <t>机器</t>
  </si>
  <si>
    <t>研究项目</t>
  </si>
  <si>
    <t>科沃斯扫地机器人</t>
  </si>
  <si>
    <t>T80</t>
  </si>
  <si>
    <t>电子组</t>
  </si>
  <si>
    <t>RS232转RS485转换器</t>
  </si>
  <si>
    <t>RS232转RS485</t>
  </si>
  <si>
    <t>雾面屏/27英寸/4K高清/128%色域</t>
  </si>
  <si>
    <t>工具</t>
  </si>
  <si>
    <t>工艺室日常使用</t>
  </si>
  <si>
    <t>特氟龙涂层剪刀</t>
  </si>
  <si>
    <t>TJ109绿款</t>
  </si>
  <si>
    <t>6055绿款</t>
  </si>
  <si>
    <t>DAX25024</t>
  </si>
  <si>
    <t>微型电动电磁阀</t>
  </si>
  <si>
    <t>AV05-4常闭常开小型电控排气阀</t>
  </si>
  <si>
    <t>SBE26004</t>
  </si>
  <si>
    <t>STM32G431KBU3 正品新年份</t>
  </si>
  <si>
    <t>印刷物料</t>
  </si>
  <si>
    <t>嘉宝莉CCS327特慢干水</t>
  </si>
  <si>
    <t>劳保用品</t>
  </si>
  <si>
    <t>件</t>
  </si>
  <si>
    <t>包装材料</t>
  </si>
  <si>
    <t>8丝红边100只    30X42CM</t>
  </si>
  <si>
    <t>12丝红边100只   40X60CM</t>
  </si>
  <si>
    <t>3M活性炭防甲醛口罩</t>
  </si>
  <si>
    <t xml:space="preserve">9541V-【20只盒装】耳戴式独立装 </t>
  </si>
  <si>
    <t>拉伸缠绕膜</t>
  </si>
  <si>
    <t>50CM宽10斤850米</t>
  </si>
  <si>
    <t xml:space="preserve">离型纸 </t>
  </si>
  <si>
    <t>300mm宽*50米长(黄色单硅)</t>
  </si>
  <si>
    <t>柔微压排机维修费</t>
  </si>
  <si>
    <t>赵姗姗</t>
  </si>
  <si>
    <t>商务会晤</t>
  </si>
  <si>
    <t>智能录音笔</t>
  </si>
  <si>
    <t>旗舰个人款+1年AI听记高级会员</t>
  </si>
  <si>
    <t>防护箱</t>
  </si>
  <si>
    <t>铝合金手提箱</t>
  </si>
  <si>
    <t>520中圆密码锁全黑箱+配套网格海绵</t>
  </si>
  <si>
    <t>通用工装</t>
  </si>
  <si>
    <t>保压治具</t>
  </si>
  <si>
    <t>超大力150-110</t>
  </si>
  <si>
    <t>设备</t>
  </si>
  <si>
    <t>拓竹PS2打印机</t>
  </si>
  <si>
    <t>拓竹P2S 单机大陆版</t>
  </si>
  <si>
    <t>90cm</t>
  </si>
  <si>
    <t>清风珍宝大卷纸</t>
  </si>
  <si>
    <t>3层150米*12卷</t>
  </si>
  <si>
    <t>4P双头同向线；0.2m</t>
  </si>
  <si>
    <t>油墨螺旋罐</t>
  </si>
  <si>
    <t>黑色300ml-配内盖新款</t>
  </si>
  <si>
    <t>印刷耗材</t>
  </si>
  <si>
    <t>复写纸</t>
  </si>
  <si>
    <t>8K【370mm*255mm】10张</t>
  </si>
  <si>
    <t>进口海绵砂块</t>
  </si>
  <si>
    <t>一分六2000  10片装</t>
  </si>
  <si>
    <t>德国勇士砂纸</t>
  </si>
  <si>
    <t>2000目 10张</t>
  </si>
  <si>
    <t>3000目 10张</t>
  </si>
  <si>
    <t>无尘纸工业擦拭纸</t>
  </si>
  <si>
    <t>20CM*30CM*500张（蓝色60g)</t>
  </si>
  <si>
    <t>智能机械手</t>
  </si>
  <si>
    <t>打印机器耗材料</t>
  </si>
  <si>
    <t>【PLA-Basic】黑色 1KG</t>
  </si>
  <si>
    <t>【PLA-Basic】白色 1KG</t>
  </si>
  <si>
    <t>TPE 白色 1.75 1KG</t>
  </si>
  <si>
    <t>五金件</t>
  </si>
  <si>
    <t>称重台</t>
  </si>
  <si>
    <t>U款12V 2A/24W (一体式）</t>
  </si>
  <si>
    <t>M1表面贴片螺母</t>
  </si>
  <si>
    <t>M1.0*￠2.3*1.3+￠1.5*0.7(1个)</t>
  </si>
  <si>
    <t>机械手</t>
  </si>
  <si>
    <t>智能串口转向9g舵机</t>
  </si>
  <si>
    <t>SC-0090-C001(6V2.3KG单轴)</t>
  </si>
  <si>
    <t>万向球头关节杆</t>
  </si>
  <si>
    <t>M2螺纹拉杆孔（2mm球头孔）</t>
  </si>
  <si>
    <t>304不锈钢牙条</t>
  </si>
  <si>
    <t>M2*16-50个</t>
  </si>
  <si>
    <t>M2*20-50个</t>
  </si>
  <si>
    <t>M2*25-20个</t>
  </si>
  <si>
    <t>十字圆头平尾自攻小螺丝</t>
  </si>
  <si>
    <t>M2.5*6-200只</t>
  </si>
  <si>
    <t>M2.5*8-200只</t>
  </si>
  <si>
    <t>304不锈钢加大平垫</t>
  </si>
  <si>
    <t>2.5*8*0.5（100个）</t>
  </si>
  <si>
    <t>树莓派串行总线舵机驱动板</t>
  </si>
  <si>
    <t>总线舵机驱动板</t>
  </si>
  <si>
    <t>MEGA2560 R3 开发板</t>
  </si>
  <si>
    <t>配USB线</t>
  </si>
  <si>
    <t>【斜口】100ml/24*24</t>
  </si>
  <si>
    <t>【斜口】50ml/24*24</t>
  </si>
  <si>
    <t>3M 超级降噪防噪音耳塞</t>
  </si>
  <si>
    <t>37DB（强降噪超值装）10副/包</t>
  </si>
  <si>
    <t>304不锈钢圆柱销</t>
  </si>
  <si>
    <t>2*10mm(100个)</t>
  </si>
  <si>
    <t>2*16mm(50个)</t>
  </si>
  <si>
    <t>塑料件</t>
  </si>
  <si>
    <t>工程塑料轴承滑套</t>
  </si>
  <si>
    <t>GFM-0608-04</t>
  </si>
  <si>
    <t>弹力布料</t>
  </si>
  <si>
    <t>黑色，半米</t>
  </si>
  <si>
    <t>魔术贴</t>
  </si>
  <si>
    <t>1.6CM超薄背胶黑色+毛面各一米</t>
  </si>
  <si>
    <t>软布魔术贴</t>
  </si>
  <si>
    <t>白色20*30cm毛+勾【一对装】</t>
  </si>
  <si>
    <t>崔新娟</t>
  </si>
  <si>
    <t>防静电自封袋</t>
  </si>
  <si>
    <t>6*9（100个/包+-1~3个）</t>
  </si>
  <si>
    <t>26*35cm（100个/包+-1~3个）</t>
  </si>
  <si>
    <t>无尘布防静电工业擦拭布</t>
  </si>
  <si>
    <t>9*9  150片 21CM</t>
  </si>
  <si>
    <t>0.8MM端子线</t>
  </si>
  <si>
    <t>4P双头反向线（1条）；0.2m；</t>
  </si>
  <si>
    <t>湿度传感器</t>
  </si>
  <si>
    <t>记录仪+高精度(SHT45)-WM102-LF-A1</t>
  </si>
  <si>
    <t>网板</t>
  </si>
  <si>
    <t>9寸21cm×21cm</t>
  </si>
  <si>
    <t>德信和女性盆底肌锻炼器压力反馈</t>
  </si>
  <si>
    <t>E端子套装组合</t>
  </si>
  <si>
    <t>紫铜E0308(圆盒600只)</t>
  </si>
  <si>
    <t>紫铜E0508(圆盒600只)</t>
  </si>
  <si>
    <t>液态金属</t>
  </si>
  <si>
    <t>16度，100g</t>
  </si>
  <si>
    <t>压力云图USB配件</t>
  </si>
  <si>
    <t>USB线</t>
  </si>
  <si>
    <t>1.5米</t>
  </si>
  <si>
    <t>实验室双爪夹</t>
  </si>
  <si>
    <t>两爪夹（单调节）锌合金镀铬</t>
  </si>
  <si>
    <t>行政物品</t>
  </si>
  <si>
    <t>保洁</t>
  </si>
  <si>
    <t>五月花扫把簸箕两件套带梳齿</t>
  </si>
  <si>
    <t>山姆优选热卖零食大礼包</t>
  </si>
  <si>
    <t>小型剪子剪线钳</t>
  </si>
  <si>
    <t>【2把装】高碳钢剪钳</t>
  </si>
  <si>
    <t>吴昊</t>
  </si>
  <si>
    <t>振动传感器</t>
  </si>
  <si>
    <t>扭力起子</t>
  </si>
  <si>
    <t>12千克</t>
  </si>
  <si>
    <t>FPC延长板</t>
  </si>
  <si>
    <t>4P 间距1.0mm</t>
  </si>
  <si>
    <t>广汽传感器项目（DAU25033)</t>
  </si>
  <si>
    <t>FPC 1.0排线</t>
  </si>
  <si>
    <t>4P 1.0mm 长度30cm 同向</t>
  </si>
  <si>
    <t>内六角批头</t>
  </si>
  <si>
    <t>H2.0</t>
  </si>
  <si>
    <t>方向盘压力监测项目(SA01626016)</t>
  </si>
  <si>
    <t>FPC 连接器</t>
  </si>
  <si>
    <t>FPC 1.0 4P 上下接</t>
  </si>
  <si>
    <t>电桥测试压头</t>
  </si>
  <si>
    <t>100目20张</t>
  </si>
  <si>
    <t>600目20张</t>
  </si>
  <si>
    <t>内六角螺丝钉</t>
  </si>
  <si>
    <t>M2*6-500个</t>
  </si>
  <si>
    <t>M2*8-500个</t>
  </si>
  <si>
    <t>IT</t>
  </si>
  <si>
    <t>印刷车间</t>
  </si>
  <si>
    <t>i5</t>
  </si>
  <si>
    <t>螺丝刀批头转换头</t>
  </si>
  <si>
    <t>6.35mm转4mm转换头（长款＋短款）</t>
  </si>
  <si>
    <t>灵脉</t>
  </si>
  <si>
    <t>15P双排直针</t>
  </si>
  <si>
    <t>20P双排直针</t>
  </si>
  <si>
    <t>24P双排直针</t>
  </si>
  <si>
    <t>锆珠</t>
  </si>
  <si>
    <t>0.8-1.0mm95%错珠1kg</t>
  </si>
  <si>
    <t>乙烯-醋酸乙烯共聚物</t>
  </si>
  <si>
    <t>醋酸乙烯 25 wt. %.熔融指数19 g/10 min(190°C/2.16kg)</t>
  </si>
  <si>
    <t>RW-20160331S001</t>
  </si>
  <si>
    <t>朱红丽</t>
  </si>
  <si>
    <t>国轩压力云图</t>
  </si>
  <si>
    <t>安全箱</t>
  </si>
  <si>
    <t>003（带内衬）</t>
  </si>
  <si>
    <t>苏州市金耐力五金工具有限公司</t>
  </si>
  <si>
    <t>JNL2026032602</t>
  </si>
  <si>
    <t>收到</t>
  </si>
  <si>
    <t>双面胶</t>
  </si>
  <si>
    <t>FSR传感器</t>
  </si>
  <si>
    <t>0.15mmPET双面胶</t>
  </si>
  <si>
    <t>0.15*980mm*100m</t>
  </si>
  <si>
    <t>RW-20260327S001</t>
  </si>
  <si>
    <t>李萌</t>
  </si>
  <si>
    <t>PC板</t>
  </si>
  <si>
    <t>长</t>
  </si>
  <si>
    <t>苏州加藤精密电子有限公司</t>
  </si>
  <si>
    <t>RW-20260325S001</t>
  </si>
  <si>
    <t>短</t>
  </si>
  <si>
    <t>底座</t>
  </si>
  <si>
    <t>不锈钢304</t>
  </si>
  <si>
    <t>RW-20260330S002</t>
  </si>
  <si>
    <t>上盖1</t>
  </si>
  <si>
    <t>上盖2</t>
  </si>
  <si>
    <t>上盖3</t>
  </si>
  <si>
    <t>油墨印刷</t>
  </si>
  <si>
    <t>0.125 PI膜</t>
  </si>
  <si>
    <t>0.125*520mm*510m</t>
  </si>
  <si>
    <t>深圳市弈星山海科技有限公司</t>
  </si>
  <si>
    <t>RW-20260330S001</t>
  </si>
  <si>
    <t>待开票</t>
  </si>
  <si>
    <t>10#树脂</t>
  </si>
  <si>
    <t>RW-20260331S002</t>
  </si>
  <si>
    <t>无水氯化锂</t>
  </si>
  <si>
    <t>L812571</t>
  </si>
  <si>
    <t>无水氯化镁</t>
  </si>
  <si>
    <t>M813763</t>
  </si>
  <si>
    <t>无水碳酸钾</t>
  </si>
  <si>
    <t>P816302</t>
  </si>
  <si>
    <t>溴化钠</t>
  </si>
  <si>
    <t>S818075</t>
  </si>
  <si>
    <t>硫酸钾</t>
  </si>
  <si>
    <t>P816431</t>
  </si>
  <si>
    <t>电子室内需</t>
  </si>
  <si>
    <t>12V电源适配器</t>
  </si>
  <si>
    <t>插口5.5mm；幽黑款；【0.1A~2A通用】1.5米</t>
  </si>
  <si>
    <t xml:space="preserve">绿联12V/1A电源适配器 </t>
  </si>
  <si>
    <t>【12V1A】5.5*2.1mm</t>
  </si>
  <si>
    <t>手持烧录针</t>
  </si>
  <si>
    <t>4P/1.27mm/钻石头/带红白排线</t>
  </si>
  <si>
    <t>4P/2.54mm/尖头/带杜邦线</t>
  </si>
  <si>
    <t>3.3V和5V双电源输出USB</t>
  </si>
  <si>
    <t>隔离型USB转RS485</t>
  </si>
  <si>
    <t>收纳箱</t>
  </si>
  <si>
    <t>【象牙白50L】 52*35*27cm</t>
  </si>
  <si>
    <t>usb接电脑移动硬盘数据线</t>
  </si>
  <si>
    <t>CH343P模块</t>
  </si>
  <si>
    <t>CH343P模块 黑板</t>
  </si>
  <si>
    <t>RW-20260402S002</t>
  </si>
  <si>
    <t>RW-20260402S001</t>
  </si>
  <si>
    <t>补单</t>
  </si>
  <si>
    <t>汽车FOD电测</t>
  </si>
  <si>
    <t>AJ-大款手动电测治具</t>
  </si>
  <si>
    <t>335*204mm</t>
  </si>
  <si>
    <t>苏州速智腾电子有限公司</t>
  </si>
  <si>
    <t>RW-20260407S004</t>
  </si>
  <si>
    <t>CD4051B 单刀八掷模拟开关</t>
  </si>
  <si>
    <t>CD4051BLQ/TR</t>
  </si>
  <si>
    <t>微功耗运算放大器</t>
  </si>
  <si>
    <t>WS72321D-4/TR</t>
  </si>
  <si>
    <t>鞋子足底传感器</t>
  </si>
  <si>
    <t>RW-20260407S002</t>
  </si>
  <si>
    <t>研发物料</t>
  </si>
  <si>
    <t>液体硅橡胶</t>
  </si>
  <si>
    <t>BD-9010A</t>
  </si>
  <si>
    <t>RW-20260409S001</t>
  </si>
  <si>
    <t>BD-9010B</t>
  </si>
  <si>
    <t>生产物料</t>
  </si>
  <si>
    <t>16*25cm，100个</t>
  </si>
  <si>
    <t>纸箱01</t>
  </si>
  <si>
    <t>300*300*150</t>
  </si>
  <si>
    <t>泰州九九新材有限公司</t>
  </si>
  <si>
    <t>RW-20260414S002</t>
  </si>
  <si>
    <t>SA01726018</t>
  </si>
  <si>
    <t>精密电压基准芯片</t>
  </si>
  <si>
    <t>REF3025AIDBZR(TI(德州仪器))</t>
  </si>
  <si>
    <t>RS485收发器</t>
  </si>
  <si>
    <t>SIT3088ETK</t>
  </si>
  <si>
    <t>圆形传感器</t>
  </si>
  <si>
    <t>钻孔加工</t>
  </si>
  <si>
    <t>安徽广泰达电子科技有限公司</t>
  </si>
  <si>
    <t>RW-20260407S001</t>
  </si>
  <si>
    <t>26.5.13飞书付款已提</t>
  </si>
  <si>
    <t>压电传感器</t>
  </si>
  <si>
    <t>PolyK PVDF压电薄膜</t>
  </si>
  <si>
    <t>100um*440mm</t>
  </si>
  <si>
    <t>米</t>
  </si>
  <si>
    <t xml:space="preserve"> 捷云智科技（北京）有限公司</t>
  </si>
  <si>
    <t>RW-20260415S002</t>
  </si>
  <si>
    <t>75um*450mm</t>
  </si>
  <si>
    <t>氟碳表面活性剂</t>
  </si>
  <si>
    <t>分装50G FC-4432</t>
  </si>
  <si>
    <t>TPU粉末</t>
  </si>
  <si>
    <t>TPU-2000目,100g</t>
  </si>
  <si>
    <t>聚酰胺蜡流变助剂</t>
  </si>
  <si>
    <t>油性500克6900-20X</t>
  </si>
  <si>
    <t>印刷车间办公用品</t>
  </si>
  <si>
    <t>防静电桌</t>
  </si>
  <si>
    <t>180*70*85</t>
  </si>
  <si>
    <t>120*80*75</t>
  </si>
  <si>
    <t>圆凳</t>
  </si>
  <si>
    <t>升降高度42-56  轮子款</t>
  </si>
  <si>
    <t>100um透明硅胶微粘膜</t>
  </si>
  <si>
    <t>长100米宽490mm</t>
  </si>
  <si>
    <t>RW-20260414S003</t>
  </si>
  <si>
    <t>7月</t>
  </si>
  <si>
    <t>稀释剂</t>
  </si>
  <si>
    <t>CCS327慢干水</t>
  </si>
  <si>
    <t>灵脉天工灵巧手</t>
  </si>
  <si>
    <t>按图加工</t>
  </si>
  <si>
    <t>RW-20260409S004</t>
  </si>
  <si>
    <t>手指尖组装</t>
  </si>
  <si>
    <t>指尖硅胶皮80个+贴合80个（硅胶皮改颜色为深灰色）</t>
  </si>
  <si>
    <t>RW-20260409S003</t>
  </si>
  <si>
    <t>舒井小批量</t>
  </si>
  <si>
    <t>PC背板-中间</t>
  </si>
  <si>
    <t>按图，1.0T单面带胶</t>
  </si>
  <si>
    <t>RW-20260410S005</t>
  </si>
  <si>
    <t>PC背板-垫片</t>
  </si>
  <si>
    <t>按图，2.0T单面带胶</t>
  </si>
  <si>
    <t>PC背板-左</t>
  </si>
  <si>
    <t>PC背板-右</t>
  </si>
  <si>
    <t>黑色热缩套管</t>
  </si>
  <si>
    <t>规格：Φ12/6-3双壁管</t>
  </si>
  <si>
    <t>苏州新恒翼五金劳保有限公司</t>
  </si>
  <si>
    <t>胡连连接器线束</t>
  </si>
  <si>
    <t>左侧3Pin线</t>
  </si>
  <si>
    <t>右侧3Pin线</t>
  </si>
  <si>
    <t>中间4Pin线</t>
  </si>
  <si>
    <t>侧翼左压力传感器</t>
  </si>
  <si>
    <t>RWS-P-BF-002</t>
  </si>
  <si>
    <t>华景微纳科技（苏州）有限公司</t>
  </si>
  <si>
    <t>RW-20260412S001</t>
  </si>
  <si>
    <t>侧翼右压力传感器</t>
  </si>
  <si>
    <t>RWS-P-BF-003</t>
  </si>
  <si>
    <t>腰托压力传感器</t>
  </si>
  <si>
    <t>RWS-P-BF-004</t>
  </si>
  <si>
    <t>指尖校准辅助工具</t>
  </si>
  <si>
    <t>指尖标定结构工装零部件</t>
  </si>
  <si>
    <t>1：直径：4.3；5；5.1；5.2；5.3；5.4；5.5；6,7,8,9,10 圆头，导柱也是圆的。按照原来的做。需求2：抬高12mm,需求3：再做一个上面的圆形平台</t>
  </si>
  <si>
    <t>RW-20260414S001</t>
  </si>
  <si>
    <t>底座2</t>
  </si>
  <si>
    <t>RW-20260417S003</t>
  </si>
  <si>
    <t>已经退货</t>
  </si>
  <si>
    <t>上盖4</t>
  </si>
  <si>
    <t>脉搏传感器（R2502）</t>
  </si>
  <si>
    <t>脉搏传感器</t>
  </si>
  <si>
    <t>RF-PUL9Z-V1</t>
  </si>
  <si>
    <t>单排母2.54mm间距</t>
  </si>
  <si>
    <t>4P</t>
  </si>
  <si>
    <t>鞋垫项目</t>
  </si>
  <si>
    <t>板对板接插件连接器</t>
  </si>
  <si>
    <t>2*12P(24P)公母合高3.0mm母座0.5间距</t>
  </si>
  <si>
    <t>刀片</t>
  </si>
  <si>
    <t>23号刀片不送刀柄</t>
  </si>
  <si>
    <t>温压一体传感器</t>
  </si>
  <si>
    <t>RWP-PTSA-001-V1.0大</t>
  </si>
  <si>
    <t>RW-20160415S001</t>
  </si>
  <si>
    <t>灵脉天工北美手指尖</t>
  </si>
  <si>
    <t>指尖铝件加工件</t>
  </si>
  <si>
    <t>按图</t>
  </si>
  <si>
    <t>RW-20260417S002</t>
  </si>
  <si>
    <t>已发货</t>
  </si>
  <si>
    <t>指尖组合件</t>
  </si>
  <si>
    <t>硅胶件+铝件+传感器 组装</t>
  </si>
  <si>
    <t>RW-20260417S001</t>
  </si>
  <si>
    <t>硅胶件开模费用</t>
  </si>
  <si>
    <t>四指传感器支架</t>
  </si>
  <si>
    <t>RW-20260418S001</t>
  </si>
  <si>
    <t>四指硅胶套</t>
  </si>
  <si>
    <t>按图纸</t>
  </si>
  <si>
    <t>RW-20260418S002</t>
  </si>
  <si>
    <t>四指硅胶套开模费用</t>
  </si>
  <si>
    <t>100um PET双面胶</t>
  </si>
  <si>
    <t>HC-DT100-31，250mm*100m</t>
  </si>
  <si>
    <t>打包耗材</t>
  </si>
  <si>
    <t>胶带切割器</t>
  </si>
  <si>
    <t>5CM6CM宽透明胶带切割器升级款</t>
  </si>
  <si>
    <t>十字盘头</t>
  </si>
  <si>
    <t>M1*5[1000只】</t>
  </si>
  <si>
    <t>M1.2*5[1000只】</t>
  </si>
  <si>
    <t>M3*10[200颗]</t>
  </si>
  <si>
    <t>M单面背胶超软低硬度硅胶板</t>
  </si>
  <si>
    <t>20度200*200*1mm白色背胶</t>
  </si>
  <si>
    <t>30度200*200*1mm白色背胶</t>
  </si>
  <si>
    <t>温度传感器非标定制</t>
  </si>
  <si>
    <t>3*4*0.05mm</t>
  </si>
  <si>
    <t>铁氧体金属粉末</t>
  </si>
  <si>
    <t>超细锰锌铁氧体粉500g</t>
  </si>
  <si>
    <t>碳化硅粉末</t>
  </si>
  <si>
    <t>绿色碳化硅(10000目)500克</t>
  </si>
  <si>
    <t>28P 1.0MM FFC扁平线延长3cm 同向</t>
  </si>
  <si>
    <t>云通</t>
  </si>
  <si>
    <t>铁氟龙线</t>
  </si>
  <si>
    <t>红色，32AWG，100米</t>
  </si>
  <si>
    <t>劳保/办公用品</t>
  </si>
  <si>
    <t>工作鞋</t>
  </si>
  <si>
    <t>详见飞书</t>
  </si>
  <si>
    <t>惠普墨水</t>
  </si>
  <si>
    <t>GT53XL/GT52</t>
  </si>
  <si>
    <t>5号</t>
  </si>
  <si>
    <t>振动</t>
  </si>
  <si>
    <t>石英圆片</t>
  </si>
  <si>
    <t>直径5mm*厚度1mm</t>
  </si>
  <si>
    <t>舒井电测工装</t>
  </si>
  <si>
    <t>压克力外壳</t>
  </si>
  <si>
    <t>110*69*34</t>
  </si>
  <si>
    <t>阵列传感器项目</t>
  </si>
  <si>
    <t>ATSHA204A-SSHDA-B SOIC-8</t>
  </si>
  <si>
    <t>牙刷项目</t>
  </si>
  <si>
    <t>简易仿真器</t>
  </si>
  <si>
    <t>CSU8ICE-Lite V1.5</t>
  </si>
  <si>
    <t>CSWrite3.0 V1.1</t>
  </si>
  <si>
    <t>无线与智能部署</t>
  </si>
  <si>
    <t>正点原子ESP32S3开发板ESP32小智AI聊天机器人组合套件媲美STM32</t>
  </si>
  <si>
    <t>DNESP32S3开发版+2.4寸LCD模块 128</t>
  </si>
  <si>
    <t>R2602零重力腰靠</t>
  </si>
  <si>
    <t>印刷膜材</t>
  </si>
  <si>
    <t>200m*500mm*0.125mm</t>
  </si>
  <si>
    <t>RW-20260423001</t>
  </si>
  <si>
    <t>织物坐垫</t>
  </si>
  <si>
    <t>3mm宽*50米</t>
  </si>
  <si>
    <t>朱总</t>
  </si>
  <si>
    <t>量子点荧光微球</t>
  </si>
  <si>
    <t>TPU微球100um</t>
  </si>
  <si>
    <t>尽快</t>
  </si>
  <si>
    <t>实验室公用</t>
  </si>
  <si>
    <t>50ml可立整箱优惠价</t>
  </si>
  <si>
    <t>海绵块</t>
  </si>
  <si>
    <t>10*7*3（白色海绵擦）</t>
  </si>
  <si>
    <t>离线脱机下载器</t>
  </si>
  <si>
    <t>STM32/GD32/N32/APM32/HK32/CS32/AT32/CH32/RX32/CKS32/LCM32/MH21</t>
  </si>
  <si>
    <t>WiFi6+AX900</t>
  </si>
  <si>
    <t>灵巧从机连接线</t>
  </si>
  <si>
    <t>4p双头反向 0.2m</t>
  </si>
  <si>
    <t>stlink下载器</t>
  </si>
  <si>
    <t>保护套ST-LINK+杜邦线</t>
  </si>
  <si>
    <t>同轴线缆</t>
  </si>
  <si>
    <t>1.13线SMA公上锡 0.4m</t>
  </si>
  <si>
    <t>数据线usb接电脑移动硬盘数据线micro</t>
  </si>
  <si>
    <t>经典款【二合一数据线☆经久耐用☆安全】</t>
  </si>
  <si>
    <t>油墨实验</t>
  </si>
  <si>
    <t>KBM-403偶联剂</t>
  </si>
  <si>
    <t>RS485芯片</t>
  </si>
  <si>
    <t>SIT3088ETK （SIT(芯力特)）</t>
  </si>
  <si>
    <t>WS72321D-4/TR（WILLSEMI(韦尔)）</t>
  </si>
  <si>
    <t>一次性手套</t>
  </si>
  <si>
    <t>油墨试剂</t>
  </si>
  <si>
    <t>慢干剂</t>
  </si>
  <si>
    <t>PR-115</t>
  </si>
  <si>
    <t>RW-20260428001</t>
  </si>
  <si>
    <t>调碳</t>
  </si>
  <si>
    <t>溶剂</t>
  </si>
  <si>
    <t>NMP</t>
  </si>
  <si>
    <t>王芸</t>
  </si>
  <si>
    <t>仓库标识</t>
  </si>
  <si>
    <t>物料卡</t>
  </si>
  <si>
    <t>强磁吸夹子</t>
  </si>
  <si>
    <t>标签机</t>
  </si>
  <si>
    <t>TE344</t>
  </si>
  <si>
    <t>灵巧手项目</t>
  </si>
  <si>
    <t>20854-005E-02连接器【CABLINE-UY RECEPTACLE 5P】</t>
  </si>
  <si>
    <t>DAA25001</t>
  </si>
  <si>
    <t>4X22AWG (0.3平方)10米黑</t>
  </si>
  <si>
    <t>印刷喷码</t>
  </si>
  <si>
    <t>全自动智能喷码机</t>
  </si>
  <si>
    <t>S1静态喷码机（高附着力墨盒）光电控制</t>
  </si>
  <si>
    <t>行政用品</t>
  </si>
  <si>
    <t>纯净水</t>
  </si>
  <si>
    <t>雀巢三合一</t>
  </si>
  <si>
    <t>1170g</t>
  </si>
  <si>
    <t>资料袋</t>
  </si>
  <si>
    <t>100只装</t>
  </si>
  <si>
    <t>文件夹</t>
  </si>
  <si>
    <t>黑色【四层竖款26cm】加粗加厚款</t>
  </si>
  <si>
    <t>置物架</t>
  </si>
  <si>
    <t>四联加厚款</t>
  </si>
  <si>
    <t>仓储货架多层置物架</t>
  </si>
  <si>
    <t>长200*宽50*高200CM</t>
  </si>
  <si>
    <t>文件夹插页袋</t>
  </si>
  <si>
    <t>A4 /60页</t>
  </si>
  <si>
    <t>备料</t>
  </si>
  <si>
    <t>途鞋垫和舒井传感器</t>
  </si>
  <si>
    <t>50umPET双面胶HC-DT50-31</t>
  </si>
  <si>
    <t>RW-20260507001</t>
  </si>
  <si>
    <t>机器手指</t>
  </si>
  <si>
    <t>PI胶带</t>
  </si>
  <si>
    <t>5mm*35m</t>
  </si>
  <si>
    <t>20mm*35m</t>
  </si>
  <si>
    <t>25mm*35m</t>
  </si>
  <si>
    <t>35mm*35m</t>
  </si>
  <si>
    <t>3M600</t>
  </si>
  <si>
    <t>12.7mm*32.9米[1卷]</t>
  </si>
  <si>
    <t>压力云图</t>
  </si>
  <si>
    <t>硅胶板</t>
  </si>
  <si>
    <t>500*500*6mm（1张）</t>
  </si>
  <si>
    <t>其他</t>
  </si>
  <si>
    <t>云通治具</t>
  </si>
  <si>
    <t>/</t>
  </si>
  <si>
    <t>st单片机</t>
  </si>
  <si>
    <t>stm32h743IIT6</t>
  </si>
  <si>
    <t>舒井小批量（350套）-PC背板垫片</t>
  </si>
  <si>
    <t>1.0mm单面带胶</t>
  </si>
  <si>
    <t>PC垫片-左</t>
  </si>
  <si>
    <t>PC垫片-右</t>
  </si>
  <si>
    <t>2mm小圆点</t>
  </si>
  <si>
    <t>直径11mm</t>
  </si>
  <si>
    <t>捷驰</t>
  </si>
  <si>
    <t>舒井小批量（350套）-胡连连接器</t>
  </si>
  <si>
    <t>胡连连接器一套</t>
  </si>
  <si>
    <t>302104042AAB&amp;391500050AP-A(1.0)</t>
  </si>
  <si>
    <t>舒井小批量（350套）-小批代工-华景</t>
  </si>
  <si>
    <t>舒井小批量（350套）-热缩套管&amp;毛毡胶带</t>
  </si>
  <si>
    <t>直径12-6</t>
  </si>
  <si>
    <t>已经到货</t>
  </si>
  <si>
    <t>毛毡胶带黑色</t>
  </si>
  <si>
    <t>19mm宽幅*25米</t>
  </si>
  <si>
    <t>上海致佳胶粘制品有限公司</t>
  </si>
  <si>
    <t>SA01226014吉利温压一体传感采集系统</t>
  </si>
  <si>
    <t>24位ADC 信号采集模块</t>
  </si>
  <si>
    <t>AD7124-8 工业版</t>
  </si>
  <si>
    <t>数据采集卡 24位ADC 主板</t>
  </si>
  <si>
    <t>stm32f103cbt6 工业版 128kb</t>
  </si>
  <si>
    <t>MOS管</t>
  </si>
  <si>
    <t>DMN3023L-7</t>
  </si>
  <si>
    <t>王杨明</t>
  </si>
  <si>
    <t>标签</t>
  </si>
  <si>
    <t>圆标签</t>
  </si>
  <si>
    <t>20MM(一包10张）</t>
  </si>
  <si>
    <t>风嘴</t>
  </si>
  <si>
    <t>BQFP 24mm*24mm风嘴 1182</t>
  </si>
  <si>
    <t>3C认证电源适配器12v2a3a5a适用移动硬盘监控电源光猫路由器12V机顶盒适配器显示器打卡充电器5.5mm电源防雷</t>
  </si>
  <si>
    <t>12V2A【插口5.5mm】【幽黑款】【0.1A~2A通用】1.5米【3C认证】</t>
  </si>
  <si>
    <t>温湿度计</t>
  </si>
  <si>
    <t>【多信息集成】TH1 时钟磁吸款</t>
  </si>
  <si>
    <t>Z-TEK力特ZE799*USB转485/422串口线9针通讯数据线双向转换器模块</t>
  </si>
  <si>
    <t>ZE799* USB 2.0 TO RS485/422 CABLE/1米</t>
  </si>
  <si>
    <t>7寸TFT液晶屏800*480分辨率RGB接口插接40PIN触摸显示屏GT911屏幕</t>
  </si>
  <si>
    <t>显示屏+电容触摸 800*480</t>
  </si>
  <si>
    <t>STM32调试下载编程烧录器仿真器stlinkv2下载器带串口</t>
  </si>
  <si>
    <t>保护套+typec线+杜邦线</t>
  </si>
  <si>
    <t>RW-20260509001</t>
  </si>
  <si>
    <t>2026/5/15发</t>
  </si>
  <si>
    <t>舒井</t>
  </si>
  <si>
    <t>舒井治具</t>
  </si>
  <si>
    <t>行政，保洁用品</t>
  </si>
  <si>
    <t>绿联HDMI线 5米25301</t>
  </si>
  <si>
    <t>合金款</t>
  </si>
  <si>
    <t>公牛插座/B5系列 【6位】总控3米B5330</t>
  </si>
  <si>
    <t>总控3米</t>
  </si>
  <si>
    <t>公牛 插座/B5系列 【4位】总控3米B5220</t>
  </si>
  <si>
    <t>总控3米（4位）</t>
  </si>
  <si>
    <t xml:space="preserve">利得垃圾袋卷加厚黑色特大超大厨房家用     </t>
  </si>
  <si>
    <t>45*55加厚300只</t>
  </si>
  <si>
    <t>15L超大号  3只装</t>
  </si>
  <si>
    <t>南孚纽扣电池</t>
  </si>
  <si>
    <t>10粒</t>
  </si>
  <si>
    <t>康师傅方便面</t>
  </si>
  <si>
    <t>绿岛固体空气清新剂</t>
  </si>
  <si>
    <t>190g</t>
  </si>
  <si>
    <t>连接器 6P</t>
  </si>
  <si>
    <t>KF128-螺钉式PCB端子2.54mm间距 6p</t>
  </si>
  <si>
    <t>连接器 8P</t>
  </si>
  <si>
    <t>装体系资料</t>
  </si>
  <si>
    <t>文件柜</t>
  </si>
  <si>
    <t>1800*850*39</t>
  </si>
  <si>
    <t>M1镀铬100g（配塑盒）</t>
  </si>
  <si>
    <t>22mm*38mm</t>
  </si>
  <si>
    <t>印刷生产器材</t>
  </si>
  <si>
    <t>除静电离子风机</t>
  </si>
  <si>
    <t>DR-010大卧式离子风机</t>
  </si>
  <si>
    <t>印刷刮胶条</t>
  </si>
  <si>
    <t>50*9*1950（硬度60度）</t>
  </si>
  <si>
    <t>普雷特</t>
  </si>
  <si>
    <t>RW-260511001</t>
  </si>
  <si>
    <t>抽液体吸管</t>
  </si>
  <si>
    <t>白色耐腐蚀耐酸碱/之</t>
  </si>
  <si>
    <t>北美手指尖优化硅胶空腔问题</t>
  </si>
  <si>
    <t>硅胶模具改膜</t>
  </si>
  <si>
    <t>2026/5/18发</t>
  </si>
  <si>
    <t>RW-20260512001</t>
  </si>
  <si>
    <t>体系</t>
  </si>
  <si>
    <t>华为笔记本</t>
  </si>
  <si>
    <t>32G运行+1T超速硬盘</t>
  </si>
  <si>
    <t>400*400,标准阵列传感器</t>
  </si>
  <si>
    <t>Elecbee fpc 1.0mm抽屉式插座焊接80pin下接触式H1.2</t>
  </si>
  <si>
    <t>1.0mm抽屉式插座焊接80pin</t>
  </si>
  <si>
    <t>舒井亚克力治具</t>
  </si>
  <si>
    <t>温度阵列传感器项目（FOD)</t>
  </si>
  <si>
    <t>FPC连接器1.0</t>
  </si>
  <si>
    <t>18P 1.0MM FFC 上下接</t>
  </si>
  <si>
    <t>测试夹PCB烧录架2.54mm间距 探针下载程序编程</t>
  </si>
  <si>
    <t>单排2.54mm-8P</t>
  </si>
  <si>
    <t>4P/1.27mm/尖头/带杜邦线</t>
  </si>
  <si>
    <t>安卓MicroUSB老接口</t>
  </si>
  <si>
    <t>黑色-数据线-【3条装】1m</t>
  </si>
  <si>
    <t>STM32F103C8T6</t>
  </si>
  <si>
    <t>触摸屏开发板</t>
  </si>
  <si>
    <t>ESP32-S3带1.69寸屏【带触摸】</t>
  </si>
  <si>
    <t>FOD</t>
  </si>
  <si>
    <t>硅橡胶加热板</t>
  </si>
  <si>
    <t>150*150mm  220V</t>
  </si>
  <si>
    <t>印刷油墨粘度测量仪</t>
  </si>
  <si>
    <t>数显彩屏粘度计</t>
  </si>
  <si>
    <t>NDJ-8ST彩屏升级款</t>
  </si>
  <si>
    <t>粘度计专用恒温槽</t>
  </si>
  <si>
    <t>SJ-1006NH(100°C）</t>
  </si>
  <si>
    <t>舒井耐高低温胶材实验</t>
  </si>
  <si>
    <t>0.15PET双面胶</t>
  </si>
  <si>
    <t>1000mm*50m</t>
  </si>
  <si>
    <t>田尔</t>
  </si>
  <si>
    <t>RW-20260513001</t>
  </si>
  <si>
    <t>款到发货</t>
  </si>
  <si>
    <t>26.5.13</t>
  </si>
  <si>
    <t>下次月结</t>
  </si>
  <si>
    <t>0.05PET双面胶</t>
  </si>
  <si>
    <t>体系章</t>
  </si>
  <si>
    <t>受控文件章</t>
  </si>
  <si>
    <t>20*50mm</t>
  </si>
  <si>
    <t>非受控章</t>
  </si>
  <si>
    <t>作废文件章</t>
  </si>
  <si>
    <t>SA00726009宠物监测服饰</t>
  </si>
  <si>
    <t>SIM卡座</t>
  </si>
  <si>
    <t>XKNANO-1151 NANO SIM卡座 6P插拔式</t>
  </si>
  <si>
    <t>合宙Air780EGP</t>
  </si>
  <si>
    <t>AIR780EGP核心板附赠5片模组</t>
  </si>
  <si>
    <t>SMT贴片天线 4G</t>
  </si>
  <si>
    <t>CA_L01 4G cat1 3G 2G 天线</t>
  </si>
  <si>
    <t>SMT贴片天线 GPS</t>
  </si>
  <si>
    <t>CA-G01 GNSS GPS 北斗天线</t>
  </si>
  <si>
    <t>公共物料</t>
  </si>
  <si>
    <t>吸烟器</t>
  </si>
  <si>
    <t>60W 调速 吸烟机 5米</t>
  </si>
  <si>
    <t>自用</t>
  </si>
  <si>
    <t>RW-260514001</t>
  </si>
  <si>
    <t xml:space="preserve">
DAC43204RTER</t>
  </si>
  <si>
    <t>以上已打印</t>
  </si>
  <si>
    <t>LDO</t>
  </si>
  <si>
    <t>ME6211C33M</t>
  </si>
  <si>
    <t>产品名称</t>
  </si>
  <si>
    <t xml:space="preserve">数量 </t>
  </si>
  <si>
    <t>供应商账期</t>
  </si>
  <si>
    <t>TL-SG2016D</t>
  </si>
  <si>
    <t>即期</t>
  </si>
  <si>
    <t>现金</t>
  </si>
  <si>
    <t>预付+即期</t>
  </si>
  <si>
    <t>月结30天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</si>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</sst>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0%"/>
    <numFmt numFmtId="178" formatCode="0.00_ "/>
    <numFmt numFmtId="179" formatCode="0.00_);[Red]\(0.00\)"/>
    <numFmt numFmtId="180" formatCode="#,##0.000_);[Red]\(#,##0.000\)"/>
    <numFmt numFmtId="181" formatCode="0.000_ "/>
    <numFmt numFmtId="182" formatCode="m&quot;月&quot;d&quot;日&quot;;@"/>
    <numFmt numFmtId="183" formatCode="0.0000_ "/>
    <numFmt numFmtId="184" formatCode="0_ "/>
    <numFmt numFmtId="185" formatCode="\¥#,##0.00;\¥\-#,##0.00"/>
  </numFmts>
  <fonts count="4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8"/>
      <name val="宋体"/>
      <charset val="134"/>
      <scheme val="minor"/>
    </font>
    <font>
      <sz val="10"/>
      <name val="宋体"/>
      <charset val="134"/>
      <scheme val="minor"/>
    </font>
    <font>
      <sz val="11"/>
      <color rgb="FFFF0000"/>
      <name val="微软雅黑 Light"/>
      <charset val="134"/>
    </font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sz val="11"/>
      <color theme="1"/>
      <name val="微软雅黑"/>
      <charset val="134"/>
    </font>
    <font>
      <sz val="11"/>
      <color rgb="FF181C25"/>
      <name val="微软雅黑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name val="微软雅黑 Light"/>
      <charset val="134"/>
    </font>
    <font>
      <sz val="11"/>
      <color rgb="FF1F2329"/>
      <name val="微软雅黑 Light"/>
      <charset val="134"/>
    </font>
    <font>
      <sz val="10.5"/>
      <color rgb="FF1F2329"/>
      <name val="微软雅黑 Light"/>
      <charset val="134"/>
    </font>
    <font>
      <sz val="11"/>
      <name val="微软雅黑 Light"/>
      <charset val="134"/>
    </font>
    <font>
      <sz val="9"/>
      <color rgb="FFFF0000"/>
      <name val="微软雅黑 Light"/>
      <charset val="134"/>
    </font>
    <font>
      <sz val="9"/>
      <name val="微软雅黑 Light"/>
      <charset val="134"/>
    </font>
    <font>
      <sz val="9"/>
      <color rgb="FF000000"/>
      <name val="微软雅黑 Light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8" borderId="13" applyNumberFormat="0" applyAlignment="0" applyProtection="0">
      <alignment vertical="center"/>
    </xf>
    <xf numFmtId="0" fontId="32" fillId="8" borderId="12" applyNumberFormat="0" applyAlignment="0" applyProtection="0">
      <alignment vertical="center"/>
    </xf>
    <xf numFmtId="0" fontId="33" fillId="9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4" fillId="0" borderId="0"/>
    <xf numFmtId="0" fontId="41" fillId="0" borderId="0"/>
  </cellStyleXfs>
  <cellXfs count="1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3" xfId="0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176" fontId="4" fillId="0" borderId="3" xfId="0" applyNumberFormat="1" applyFont="1" applyBorder="1" applyAlignment="1">
      <alignment horizontal="center" vertical="center"/>
    </xf>
    <xf numFmtId="9" fontId="0" fillId="0" borderId="3" xfId="0" applyNumberFormat="1" applyBorder="1">
      <alignment vertical="center"/>
    </xf>
    <xf numFmtId="176" fontId="2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176" fontId="9" fillId="2" borderId="1" xfId="0" applyNumberFormat="1" applyFon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176" fontId="10" fillId="0" borderId="1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 vertical="center"/>
    </xf>
    <xf numFmtId="4" fontId="10" fillId="0" borderId="1" xfId="0" applyNumberFormat="1" applyFont="1" applyBorder="1" applyAlignment="1">
      <alignment horizontal="left"/>
    </xf>
    <xf numFmtId="14" fontId="10" fillId="0" borderId="4" xfId="0" applyNumberFormat="1" applyFont="1" applyBorder="1" applyAlignment="1">
      <alignment horizontal="left"/>
    </xf>
    <xf numFmtId="49" fontId="10" fillId="0" borderId="4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9" fontId="10" fillId="0" borderId="1" xfId="0" applyNumberFormat="1" applyFont="1" applyBorder="1" applyAlignment="1">
      <alignment horizontal="left" vertical="center"/>
    </xf>
    <xf numFmtId="177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3" fillId="0" borderId="1" xfId="5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/>
    </xf>
    <xf numFmtId="178" fontId="12" fillId="0" borderId="1" xfId="50" applyNumberFormat="1" applyFont="1" applyBorder="1" applyAlignment="1">
      <alignment horizontal="left" vertical="center" wrapText="1"/>
    </xf>
    <xf numFmtId="0" fontId="12" fillId="0" borderId="1" xfId="5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50" applyFont="1" applyBorder="1" applyAlignment="1">
      <alignment horizontal="left" vertical="center"/>
    </xf>
    <xf numFmtId="0" fontId="10" fillId="0" borderId="1" xfId="0" applyFont="1" applyBorder="1" applyAlignment="1">
      <alignment horizontal="left" wrapText="1"/>
    </xf>
    <xf numFmtId="0" fontId="14" fillId="0" borderId="0" xfId="0" applyFont="1" applyAlignment="1">
      <alignment horizontal="left" vertical="center"/>
    </xf>
    <xf numFmtId="176" fontId="10" fillId="0" borderId="1" xfId="0" applyNumberFormat="1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wrapText="1"/>
    </xf>
    <xf numFmtId="179" fontId="12" fillId="0" borderId="1" xfId="50" applyNumberFormat="1" applyFont="1" applyBorder="1" applyAlignment="1">
      <alignment horizontal="left" vertical="center"/>
    </xf>
    <xf numFmtId="180" fontId="10" fillId="0" borderId="1" xfId="0" applyNumberFormat="1" applyFont="1" applyBorder="1" applyAlignment="1">
      <alignment horizontal="left"/>
    </xf>
    <xf numFmtId="181" fontId="12" fillId="0" borderId="1" xfId="50" applyNumberFormat="1" applyFont="1" applyBorder="1" applyAlignment="1">
      <alignment horizontal="left" vertical="center" wrapText="1"/>
    </xf>
    <xf numFmtId="0" fontId="12" fillId="0" borderId="6" xfId="50" applyFont="1" applyBorder="1" applyAlignment="1">
      <alignment horizontal="left" vertical="center"/>
    </xf>
    <xf numFmtId="0" fontId="12" fillId="0" borderId="6" xfId="50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14" fontId="10" fillId="0" borderId="3" xfId="0" applyNumberFormat="1" applyFont="1" applyBorder="1" applyAlignment="1">
      <alignment horizontal="left"/>
    </xf>
    <xf numFmtId="9" fontId="0" fillId="0" borderId="3" xfId="0" applyNumberForma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49" fontId="10" fillId="0" borderId="3" xfId="0" applyNumberFormat="1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9" fontId="0" fillId="0" borderId="4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182" fontId="2" fillId="0" borderId="3" xfId="0" applyNumberFormat="1" applyFont="1" applyBorder="1" applyAlignment="1">
      <alignment horizontal="left" vertical="center"/>
    </xf>
    <xf numFmtId="182" fontId="2" fillId="0" borderId="5" xfId="0" applyNumberFormat="1" applyFont="1" applyBorder="1" applyAlignment="1">
      <alignment horizontal="left" vertical="center"/>
    </xf>
    <xf numFmtId="182" fontId="2" fillId="0" borderId="4" xfId="0" applyNumberFormat="1" applyFont="1" applyBorder="1" applyAlignment="1">
      <alignment horizontal="left" vertical="center"/>
    </xf>
    <xf numFmtId="182" fontId="2" fillId="0" borderId="1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9" fontId="12" fillId="0" borderId="1" xfId="5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/>
    </xf>
    <xf numFmtId="49" fontId="10" fillId="0" borderId="0" xfId="0" applyNumberFormat="1" applyFont="1" applyAlignment="1">
      <alignment horizontal="left"/>
    </xf>
    <xf numFmtId="14" fontId="12" fillId="0" borderId="1" xfId="50" applyNumberFormat="1" applyFon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78" fontId="12" fillId="0" borderId="3" xfId="50" applyNumberFormat="1" applyFont="1" applyBorder="1" applyAlignment="1">
      <alignment horizontal="left" vertical="center" wrapText="1"/>
    </xf>
    <xf numFmtId="0" fontId="12" fillId="0" borderId="3" xfId="5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0" borderId="4" xfId="50" applyFont="1" applyBorder="1" applyAlignment="1">
      <alignment horizontal="left" vertical="center" wrapText="1"/>
    </xf>
    <xf numFmtId="58" fontId="10" fillId="0" borderId="1" xfId="0" applyNumberFormat="1" applyFont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5" xfId="0" applyNumberForma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5" fillId="0" borderId="1" xfId="6" applyBorder="1" applyAlignment="1">
      <alignment horizontal="left" vertical="center"/>
    </xf>
    <xf numFmtId="14" fontId="10" fillId="0" borderId="0" xfId="0" applyNumberFormat="1" applyFont="1" applyAlignment="1">
      <alignment horizontal="left"/>
    </xf>
    <xf numFmtId="3" fontId="0" fillId="0" borderId="0" xfId="0" applyNumberFormat="1" applyAlignment="1">
      <alignment horizontal="left" vertical="center"/>
    </xf>
    <xf numFmtId="4" fontId="0" fillId="0" borderId="1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176" fontId="4" fillId="0" borderId="4" xfId="0" applyNumberFormat="1" applyFon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176" fontId="16" fillId="0" borderId="1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78" fontId="16" fillId="0" borderId="1" xfId="50" applyNumberFormat="1" applyFont="1" applyBorder="1" applyAlignment="1">
      <alignment horizontal="left" vertical="center" wrapText="1"/>
    </xf>
    <xf numFmtId="178" fontId="12" fillId="0" borderId="4" xfId="50" applyNumberFormat="1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76" fontId="16" fillId="0" borderId="1" xfId="0" applyNumberFormat="1" applyFont="1" applyBorder="1" applyAlignment="1">
      <alignment horizontal="left" vertical="center" wrapText="1"/>
    </xf>
    <xf numFmtId="58" fontId="8" fillId="0" borderId="1" xfId="0" applyNumberFormat="1" applyFont="1" applyBorder="1" applyAlignment="1">
      <alignment horizontal="left" vertical="center"/>
    </xf>
    <xf numFmtId="0" fontId="16" fillId="0" borderId="1" xfId="50" applyFont="1" applyBorder="1" applyAlignment="1">
      <alignment horizontal="left" vertical="center"/>
    </xf>
    <xf numFmtId="0" fontId="16" fillId="0" borderId="1" xfId="50" applyFont="1" applyBorder="1" applyAlignment="1">
      <alignment horizontal="left" vertical="center" wrapText="1"/>
    </xf>
    <xf numFmtId="183" fontId="16" fillId="0" borderId="1" xfId="50" applyNumberFormat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58" fontId="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 vertical="center" wrapText="1"/>
    </xf>
    <xf numFmtId="176" fontId="19" fillId="0" borderId="1" xfId="0" applyNumberFormat="1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0" fillId="0" borderId="1" xfId="50" applyFont="1" applyBorder="1" applyAlignment="1">
      <alignment horizontal="left" vertical="center"/>
    </xf>
    <xf numFmtId="184" fontId="20" fillId="0" borderId="1" xfId="0" applyNumberFormat="1" applyFont="1" applyBorder="1" applyAlignment="1">
      <alignment horizontal="left" vertical="center" wrapText="1"/>
    </xf>
    <xf numFmtId="58" fontId="7" fillId="0" borderId="1" xfId="0" applyNumberFormat="1" applyFont="1" applyBorder="1" applyAlignment="1">
      <alignment horizontal="left" vertical="center"/>
    </xf>
    <xf numFmtId="185" fontId="20" fillId="0" borderId="1" xfId="0" applyNumberFormat="1" applyFont="1" applyBorder="1" applyAlignment="1">
      <alignment horizontal="left" vertical="center" wrapText="1"/>
    </xf>
    <xf numFmtId="9" fontId="20" fillId="0" borderId="1" xfId="5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left" vertical="center"/>
    </xf>
    <xf numFmtId="58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9" fontId="16" fillId="0" borderId="1" xfId="50" applyNumberFormat="1" applyFont="1" applyBorder="1" applyAlignment="1">
      <alignment horizontal="left" vertical="center"/>
    </xf>
    <xf numFmtId="0" fontId="21" fillId="0" borderId="1" xfId="50" applyFont="1" applyBorder="1" applyAlignment="1">
      <alignment horizontal="left" vertical="center"/>
    </xf>
    <xf numFmtId="185" fontId="22" fillId="0" borderId="1" xfId="0" applyNumberFormat="1" applyFont="1" applyBorder="1" applyAlignment="1">
      <alignment horizontal="left" vertical="center" wrapText="1"/>
    </xf>
    <xf numFmtId="9" fontId="21" fillId="0" borderId="1" xfId="50" applyNumberFormat="1" applyFont="1" applyBorder="1" applyAlignment="1">
      <alignment horizontal="left" vertical="center"/>
    </xf>
    <xf numFmtId="184" fontId="22" fillId="0" borderId="1" xfId="0" applyNumberFormat="1" applyFont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/>
    </xf>
    <xf numFmtId="58" fontId="8" fillId="3" borderId="1" xfId="0" applyNumberFormat="1" applyFont="1" applyFill="1" applyBorder="1" applyAlignment="1">
      <alignment horizontal="left" vertical="center"/>
    </xf>
    <xf numFmtId="176" fontId="16" fillId="3" borderId="1" xfId="0" applyNumberFormat="1" applyFont="1" applyFill="1" applyBorder="1" applyAlignment="1">
      <alignment horizontal="left" vertical="center"/>
    </xf>
    <xf numFmtId="9" fontId="8" fillId="3" borderId="1" xfId="0" applyNumberFormat="1" applyFont="1" applyFill="1" applyBorder="1" applyAlignment="1">
      <alignment horizontal="left" vertical="center"/>
    </xf>
    <xf numFmtId="58" fontId="8" fillId="3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 applyAlignment="1">
      <alignment horizontal="left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2;&#26684;&#20379;&#24212;&#21830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>供应商名称</v>
          </cell>
          <cell r="G1" t="str">
            <v>导入日期</v>
          </cell>
          <cell r="H1" t="str">
            <v>帐期</v>
          </cell>
        </row>
        <row r="2">
          <cell r="F2" t="str">
            <v>郑州世瑞思仪器科技有限公司</v>
          </cell>
          <cell r="G2">
            <v>43574</v>
          </cell>
          <cell r="H2" t="str">
            <v>预付+即期</v>
          </cell>
        </row>
        <row r="3">
          <cell r="F3" t="str">
            <v>北京北光世纪仪器有限公司</v>
          </cell>
          <cell r="G3">
            <v>43579</v>
          </cell>
          <cell r="H3" t="str">
            <v>预付</v>
          </cell>
        </row>
        <row r="4">
          <cell r="F4" t="str">
            <v>苏州云骐智能科技有限公司</v>
          </cell>
          <cell r="G4">
            <v>43580</v>
          </cell>
          <cell r="H4" t="str">
            <v>即期</v>
          </cell>
        </row>
        <row r="5">
          <cell r="F5" t="str">
            <v>浙江力辰仪器科技有限公司</v>
          </cell>
          <cell r="G5">
            <v>43590</v>
          </cell>
          <cell r="H5" t="str">
            <v>预付</v>
          </cell>
        </row>
        <row r="6">
          <cell r="F6" t="str">
            <v>中国电子科技集团公司第五十五研究所</v>
          </cell>
          <cell r="G6">
            <v>43656</v>
          </cell>
          <cell r="H6" t="str">
            <v>预付</v>
          </cell>
        </row>
        <row r="7">
          <cell r="F7" t="str">
            <v>苏州工业园区正汇精密机械</v>
          </cell>
          <cell r="G7">
            <v>43732</v>
          </cell>
          <cell r="H7" t="str">
            <v>现金</v>
          </cell>
        </row>
        <row r="8">
          <cell r="F8" t="str">
            <v>吴中区甪直堡润模具经营部</v>
          </cell>
          <cell r="G8">
            <v>43761</v>
          </cell>
          <cell r="H8" t="str">
            <v>现金</v>
          </cell>
        </row>
        <row r="9">
          <cell r="F9" t="str">
            <v>苏州茗宇智能科技有限公司</v>
          </cell>
          <cell r="G9">
            <v>43770</v>
          </cell>
          <cell r="H9" t="str">
            <v>预付+即期</v>
          </cell>
        </row>
        <row r="10">
          <cell r="F10" t="str">
            <v>苏州飓风工业设计有限公司</v>
          </cell>
          <cell r="G10">
            <v>43776</v>
          </cell>
        </row>
        <row r="11">
          <cell r="F11" t="str">
            <v>苏州铭匠激光科技有限公司</v>
          </cell>
          <cell r="G11">
            <v>43783</v>
          </cell>
          <cell r="H11" t="str">
            <v>预付+即期</v>
          </cell>
        </row>
        <row r="12">
          <cell r="F12" t="str">
            <v>无锡天远易科技有限公司</v>
          </cell>
          <cell r="G12">
            <v>43821</v>
          </cell>
          <cell r="H12" t="str">
            <v>预付+即期</v>
          </cell>
        </row>
        <row r="13">
          <cell r="F13" t="str">
            <v>东莞市川富电子有限公司</v>
          </cell>
          <cell r="G13">
            <v>43826</v>
          </cell>
          <cell r="H13" t="str">
            <v>预付</v>
          </cell>
        </row>
        <row r="14">
          <cell r="F14" t="str">
            <v>广州善准仪器设备有限公司</v>
          </cell>
          <cell r="G14">
            <v>43830</v>
          </cell>
          <cell r="H14" t="str">
            <v>预付</v>
          </cell>
        </row>
        <row r="15">
          <cell r="F15" t="str">
            <v>深圳市展望兴科技有限公司</v>
          </cell>
          <cell r="G15">
            <v>43935</v>
          </cell>
          <cell r="H15" t="str">
            <v>预付</v>
          </cell>
        </row>
        <row r="16">
          <cell r="F16" t="str">
            <v>深圳小矛自动化科技有限公司</v>
          </cell>
          <cell r="G16">
            <v>43938</v>
          </cell>
          <cell r="H16" t="str">
            <v>预付</v>
          </cell>
        </row>
        <row r="17">
          <cell r="F17" t="str">
            <v>江阴辉格仪器仪表有限公司</v>
          </cell>
          <cell r="G17">
            <v>43965</v>
          </cell>
          <cell r="H17" t="str">
            <v>预付</v>
          </cell>
        </row>
        <row r="18">
          <cell r="F18" t="str">
            <v>苏州优斯托智能科技有限公司</v>
          </cell>
          <cell r="G18">
            <v>43993</v>
          </cell>
          <cell r="H18" t="str">
            <v>预付</v>
          </cell>
        </row>
        <row r="19">
          <cell r="F19" t="str">
            <v>北京鑫普特科技有限公司</v>
          </cell>
          <cell r="G19">
            <v>44033</v>
          </cell>
          <cell r="H19" t="str">
            <v>预付</v>
          </cell>
        </row>
        <row r="20">
          <cell r="F20" t="str">
            <v>武汉东湖新技术开发区镭芮彬电子经营部</v>
          </cell>
          <cell r="G20">
            <v>44064</v>
          </cell>
          <cell r="H20" t="str">
            <v>预付</v>
          </cell>
        </row>
        <row r="21">
          <cell r="F21" t="str">
            <v>聊城巨龙激光设备有限公司</v>
          </cell>
          <cell r="G21">
            <v>44121</v>
          </cell>
          <cell r="H21" t="str">
            <v>即期</v>
          </cell>
        </row>
        <row r="22">
          <cell r="F22" t="str">
            <v>东莞市高尚机械有限公司</v>
          </cell>
          <cell r="G22">
            <v>44123</v>
          </cell>
          <cell r="H22" t="str">
            <v>预付+即期</v>
          </cell>
        </row>
        <row r="23">
          <cell r="F23" t="str">
            <v>深圳市华科力达自动化设备有限公司</v>
          </cell>
          <cell r="G23">
            <v>44886</v>
          </cell>
          <cell r="H23" t="str">
            <v>预付</v>
          </cell>
        </row>
        <row r="24">
          <cell r="F24" t="str">
            <v>南京邮电大学</v>
          </cell>
          <cell r="G24">
            <v>44918</v>
          </cell>
        </row>
        <row r="25">
          <cell r="F25" t="str">
            <v>链家融选（上海）科技有限公司</v>
          </cell>
          <cell r="G25">
            <v>44928</v>
          </cell>
          <cell r="H25" t="str">
            <v>预付+即期</v>
          </cell>
        </row>
        <row r="26">
          <cell r="F26" t="str">
            <v>中山市领造科技有限公司</v>
          </cell>
          <cell r="G26">
            <v>44959</v>
          </cell>
          <cell r="H26" t="str">
            <v>预付</v>
          </cell>
        </row>
        <row r="27">
          <cell r="F27" t="str">
            <v>苏州钮曼精密机电科技有限公司</v>
          </cell>
          <cell r="G27">
            <v>45268</v>
          </cell>
          <cell r="H27" t="str">
            <v>预付</v>
          </cell>
        </row>
        <row r="28">
          <cell r="F28" t="str">
            <v>湖北省云攀科技有限公司</v>
          </cell>
          <cell r="G28">
            <v>45343</v>
          </cell>
          <cell r="H28" t="str">
            <v>预付</v>
          </cell>
        </row>
        <row r="29">
          <cell r="F29" t="str">
            <v>东莞市长安欧准特精密机械经营部</v>
          </cell>
          <cell r="G29">
            <v>45374</v>
          </cell>
          <cell r="H29" t="str">
            <v>即期</v>
          </cell>
        </row>
        <row r="30">
          <cell r="F30" t="str">
            <v>苏州工业园区紫信电子仪器有限公司</v>
          </cell>
          <cell r="G30">
            <v>45376</v>
          </cell>
          <cell r="H30" t="str">
            <v>即期</v>
          </cell>
        </row>
        <row r="31">
          <cell r="F31" t="str">
            <v>上海众濒科技有限公司</v>
          </cell>
          <cell r="G31">
            <v>45396</v>
          </cell>
          <cell r="H31" t="str">
            <v>预付</v>
          </cell>
        </row>
        <row r="32">
          <cell r="F32" t="str">
            <v>苏州德克源电子科技有限公司</v>
          </cell>
          <cell r="G32">
            <v>45397</v>
          </cell>
          <cell r="H32" t="str">
            <v>预付</v>
          </cell>
        </row>
        <row r="33">
          <cell r="F33" t="str">
            <v>西安鑫仪仪表科技有限公司</v>
          </cell>
          <cell r="G33">
            <v>45405</v>
          </cell>
          <cell r="H33" t="str">
            <v>预付</v>
          </cell>
        </row>
        <row r="34">
          <cell r="F34" t="str">
            <v>深圳市傲月光电科技有限公司</v>
          </cell>
          <cell r="G34">
            <v>45407</v>
          </cell>
          <cell r="H34" t="str">
            <v>预付</v>
          </cell>
        </row>
        <row r="35">
          <cell r="F35" t="str">
            <v>浙江华企正邦自动化科技有限公司</v>
          </cell>
          <cell r="G35">
            <v>45426</v>
          </cell>
          <cell r="H35" t="str">
            <v>预付</v>
          </cell>
        </row>
        <row r="36">
          <cell r="F36" t="str">
            <v>深圳市八方仪表有限公司</v>
          </cell>
          <cell r="G36">
            <v>45428</v>
          </cell>
          <cell r="H36" t="str">
            <v>预付</v>
          </cell>
        </row>
        <row r="37">
          <cell r="F37" t="str">
            <v>永康市可林儿环保设备有限公司</v>
          </cell>
          <cell r="G37">
            <v>45428</v>
          </cell>
          <cell r="H37" t="str">
            <v>预付</v>
          </cell>
        </row>
        <row r="38">
          <cell r="F38" t="str">
            <v>苏州格里德医学传感技术有限公司</v>
          </cell>
          <cell r="G38">
            <v>45435</v>
          </cell>
          <cell r="H38" t="str">
            <v>预付+即期</v>
          </cell>
        </row>
        <row r="39">
          <cell r="F39" t="str">
            <v>米开罗那（上海）工业智能科技股份有限公司</v>
          </cell>
          <cell r="G39">
            <v>45456</v>
          </cell>
          <cell r="H39" t="str">
            <v>预付+即期</v>
          </cell>
        </row>
        <row r="40">
          <cell r="F40" t="str">
            <v>萨瓦尼（重庆）实验室系统工程有限公司</v>
          </cell>
          <cell r="G40">
            <v>45469</v>
          </cell>
          <cell r="H40" t="str">
            <v>预付+即期</v>
          </cell>
        </row>
        <row r="41">
          <cell r="F41" t="str">
            <v>洛阳格多林家具有限公司</v>
          </cell>
          <cell r="G41">
            <v>45474</v>
          </cell>
          <cell r="H41" t="str">
            <v>即期</v>
          </cell>
        </row>
        <row r="42">
          <cell r="F42" t="str">
            <v>浙江赛德仪器设备有限公司</v>
          </cell>
          <cell r="G42">
            <v>45478</v>
          </cell>
          <cell r="H42" t="str">
            <v>预付</v>
          </cell>
        </row>
        <row r="43">
          <cell r="F43" t="str">
            <v>力辰科学仪器（湖南）有限公司</v>
          </cell>
          <cell r="G43">
            <v>45479</v>
          </cell>
          <cell r="H43" t="str">
            <v>预付</v>
          </cell>
        </row>
        <row r="44">
          <cell r="F44" t="str">
            <v>南京广瑞实验设备有限公司</v>
          </cell>
          <cell r="G44">
            <v>45482</v>
          </cell>
          <cell r="H44" t="str">
            <v>预付</v>
          </cell>
        </row>
        <row r="45">
          <cell r="F45" t="str">
            <v>苏州新恒翼五金劳保有限公司</v>
          </cell>
          <cell r="G45">
            <v>45482</v>
          </cell>
          <cell r="H45" t="str">
            <v>即期</v>
          </cell>
        </row>
        <row r="46">
          <cell r="F46" t="str">
            <v>上海利百加精密金属制品有限公司</v>
          </cell>
          <cell r="G46">
            <v>45488</v>
          </cell>
          <cell r="H46" t="str">
            <v>即期</v>
          </cell>
        </row>
        <row r="47">
          <cell r="F47" t="str">
            <v>上海英禄自动化设备有限公司</v>
          </cell>
          <cell r="G47">
            <v>45488</v>
          </cell>
          <cell r="H47" t="str">
            <v>预付</v>
          </cell>
        </row>
        <row r="48">
          <cell r="F48" t="str">
            <v>廊坊市尼圣尔电工科技有限公司</v>
          </cell>
          <cell r="G48">
            <v>45489</v>
          </cell>
          <cell r="H48" t="str">
            <v>预付+即期</v>
          </cell>
        </row>
        <row r="49">
          <cell r="F49" t="str">
            <v>台州云深信息技术有限公司</v>
          </cell>
          <cell r="G49">
            <v>45490</v>
          </cell>
          <cell r="H49" t="str">
            <v>月结30天</v>
          </cell>
        </row>
        <row r="50">
          <cell r="F50" t="str">
            <v>苏州思铭普精密科技有限公司</v>
          </cell>
          <cell r="G50">
            <v>45491</v>
          </cell>
          <cell r="H50" t="str">
            <v>预付</v>
          </cell>
        </row>
        <row r="51">
          <cell r="F51" t="str">
            <v>苏州保顺自动化机械有限公司</v>
          </cell>
          <cell r="G51">
            <v>45495</v>
          </cell>
          <cell r="H51" t="str">
            <v>月结30天</v>
          </cell>
        </row>
        <row r="52">
          <cell r="F52" t="str">
            <v>上海众濒科技有限公司</v>
          </cell>
          <cell r="G52">
            <v>45498</v>
          </cell>
          <cell r="H52" t="str">
            <v>预付</v>
          </cell>
        </row>
        <row r="53">
          <cell r="F53" t="str">
            <v>扬州英迈克测控技术有限公司</v>
          </cell>
          <cell r="G53">
            <v>45510</v>
          </cell>
          <cell r="H53" t="str">
            <v>预付</v>
          </cell>
        </row>
        <row r="54">
          <cell r="F54" t="str">
            <v>艾科迈科学仪器浙江有限公司</v>
          </cell>
          <cell r="G54">
            <v>45513</v>
          </cell>
          <cell r="H54" t="str">
            <v>预付</v>
          </cell>
        </row>
        <row r="55">
          <cell r="F55" t="str">
            <v>鹤壁精中科技有限公司</v>
          </cell>
          <cell r="G55">
            <v>45544</v>
          </cell>
          <cell r="H55" t="str">
            <v>预付</v>
          </cell>
        </row>
        <row r="56">
          <cell r="F56" t="str">
            <v>洛八汉精密机械（苏州）有限公司</v>
          </cell>
          <cell r="G56">
            <v>45555</v>
          </cell>
          <cell r="H56" t="str">
            <v>预付</v>
          </cell>
        </row>
        <row r="57">
          <cell r="F57" t="str">
            <v>吾爱鹿鹿（苏州）信息科技有限公司</v>
          </cell>
          <cell r="G57">
            <v>45570</v>
          </cell>
          <cell r="H57" t="str">
            <v>即期</v>
          </cell>
        </row>
        <row r="58">
          <cell r="F58" t="str">
            <v>苏州天氏库力精密仪器有限公司</v>
          </cell>
          <cell r="G58">
            <v>45577</v>
          </cell>
          <cell r="H58" t="str">
            <v>预付+即期</v>
          </cell>
        </row>
        <row r="59">
          <cell r="F59" t="str">
            <v>志圣精工（深圳）有限公司</v>
          </cell>
          <cell r="G59">
            <v>45577</v>
          </cell>
          <cell r="H59" t="str">
            <v>预付+即期</v>
          </cell>
        </row>
        <row r="60">
          <cell r="F60" t="str">
            <v>武汉中旗光电科技有限公司</v>
          </cell>
          <cell r="G60">
            <v>45580</v>
          </cell>
          <cell r="H60" t="str">
            <v>预付</v>
          </cell>
        </row>
        <row r="61">
          <cell r="F61" t="str">
            <v>珠海市恒凯机电有限公司</v>
          </cell>
          <cell r="G61">
            <v>45586</v>
          </cell>
          <cell r="H61" t="str">
            <v>预付</v>
          </cell>
        </row>
        <row r="62">
          <cell r="F62" t="str">
            <v>常州达瑞亿机械设备科技有限公司</v>
          </cell>
          <cell r="G62">
            <v>45588</v>
          </cell>
          <cell r="H62" t="str">
            <v>预付+即期</v>
          </cell>
        </row>
        <row r="63">
          <cell r="F63" t="str">
            <v>北京印刷学院</v>
          </cell>
          <cell r="G63">
            <v>45596</v>
          </cell>
        </row>
        <row r="64">
          <cell r="F64" t="str">
            <v>长沙市岳麓区仪鑫辉仪器仪表经营部</v>
          </cell>
          <cell r="G64">
            <v>45604</v>
          </cell>
          <cell r="H64" t="str">
            <v>预付</v>
          </cell>
        </row>
        <row r="65">
          <cell r="F65" t="str">
            <v>苏州迈成激光设备有限公司</v>
          </cell>
          <cell r="G65">
            <v>45622</v>
          </cell>
          <cell r="H65" t="str">
            <v>预付+即期</v>
          </cell>
        </row>
        <row r="66">
          <cell r="F66" t="str">
            <v>苏州江凯机械设备有限公司</v>
          </cell>
          <cell r="G66">
            <v>45628</v>
          </cell>
          <cell r="H66" t="str">
            <v>预付</v>
          </cell>
        </row>
        <row r="67">
          <cell r="F67" t="str">
            <v>深圳市金日立电子有限公司</v>
          </cell>
          <cell r="G67">
            <v>45629</v>
          </cell>
          <cell r="H67" t="str">
            <v>预付</v>
          </cell>
        </row>
        <row r="68">
          <cell r="F68" t="str">
            <v>深圳市协达兴科技有限公司</v>
          </cell>
          <cell r="G68">
            <v>45629</v>
          </cell>
          <cell r="H68" t="str">
            <v>即期</v>
          </cell>
        </row>
        <row r="69">
          <cell r="F69" t="str">
            <v>工游记工业科技（深圳）有限公司</v>
          </cell>
          <cell r="G69">
            <v>45642</v>
          </cell>
          <cell r="H69" t="str">
            <v>预付</v>
          </cell>
        </row>
        <row r="70">
          <cell r="F70" t="str">
            <v>上海诺航科技有限公司</v>
          </cell>
          <cell r="G70">
            <v>45649</v>
          </cell>
          <cell r="H70" t="str">
            <v>预付</v>
          </cell>
        </row>
        <row r="71">
          <cell r="F71" t="str">
            <v>浙江上科仪进出品有限公司</v>
          </cell>
          <cell r="G71">
            <v>45670</v>
          </cell>
          <cell r="H71" t="str">
            <v>预付</v>
          </cell>
        </row>
        <row r="72">
          <cell r="F72" t="str">
            <v>大连信隆顺商贸有限公司</v>
          </cell>
          <cell r="G72">
            <v>45699</v>
          </cell>
          <cell r="H72" t="str">
            <v>预付</v>
          </cell>
        </row>
        <row r="73">
          <cell r="F73" t="str">
            <v>重庆捷定力自动化科技有限公司</v>
          </cell>
          <cell r="G73">
            <v>45709</v>
          </cell>
          <cell r="H73" t="str">
            <v>预付</v>
          </cell>
        </row>
        <row r="74">
          <cell r="F74" t="str">
            <v>苏州威翰德电子科技有限公司</v>
          </cell>
          <cell r="G74">
            <v>45723</v>
          </cell>
          <cell r="H74" t="str">
            <v>预付+即期</v>
          </cell>
        </row>
        <row r="75">
          <cell r="F75" t="str">
            <v>兰斯给特（上海）设备工程有限公司</v>
          </cell>
          <cell r="G75">
            <v>45724</v>
          </cell>
          <cell r="H75" t="str">
            <v>预付+即期</v>
          </cell>
        </row>
        <row r="76">
          <cell r="F76" t="str">
            <v>川源科技（苏州）有限公司</v>
          </cell>
          <cell r="G76">
            <v>45740</v>
          </cell>
          <cell r="H76" t="str">
            <v>即期</v>
          </cell>
        </row>
        <row r="77">
          <cell r="F77" t="str">
            <v>东莞市凯格精机股份有限公司</v>
          </cell>
          <cell r="G77">
            <v>45742</v>
          </cell>
          <cell r="H77" t="str">
            <v>即期</v>
          </cell>
        </row>
        <row r="78">
          <cell r="F78" t="str">
            <v>群安科学仪器（浙江）有限公司</v>
          </cell>
          <cell r="G78">
            <v>45749</v>
          </cell>
          <cell r="H78" t="str">
            <v>即期</v>
          </cell>
        </row>
        <row r="79">
          <cell r="F79" t="str">
            <v>微思纳米科技（苏州）有限公司</v>
          </cell>
          <cell r="G79">
            <v>45749</v>
          </cell>
          <cell r="H79" t="str">
            <v>即期</v>
          </cell>
        </row>
        <row r="80">
          <cell r="F80" t="str">
            <v>深圳市聚佳盛科技有限公司</v>
          </cell>
          <cell r="G80">
            <v>45750</v>
          </cell>
          <cell r="H80" t="str">
            <v>即期</v>
          </cell>
        </row>
        <row r="81">
          <cell r="F81" t="str">
            <v>温州电测科技仪器有限公司</v>
          </cell>
          <cell r="G81">
            <v>45757</v>
          </cell>
          <cell r="H81" t="str">
            <v>即期</v>
          </cell>
        </row>
        <row r="82">
          <cell r="F82" t="str">
            <v>长沙米淇仪器 设备有限公司</v>
          </cell>
          <cell r="G82">
            <v>45762</v>
          </cell>
          <cell r="H82" t="str">
            <v>即期</v>
          </cell>
        </row>
        <row r="83">
          <cell r="F83" t="str">
            <v>常州海尔帕电子科技有限公司</v>
          </cell>
          <cell r="G83">
            <v>45765</v>
          </cell>
          <cell r="H83" t="str">
            <v>即期</v>
          </cell>
        </row>
        <row r="84">
          <cell r="F84" t="str">
            <v>上海沐轩实业有限公司</v>
          </cell>
          <cell r="G84">
            <v>45775</v>
          </cell>
          <cell r="H84" t="str">
            <v>即期</v>
          </cell>
        </row>
        <row r="85">
          <cell r="F85" t="str">
            <v>安徽大学</v>
          </cell>
          <cell r="G85">
            <v>45783</v>
          </cell>
          <cell r="H85" t="str">
            <v>即期</v>
          </cell>
        </row>
        <row r="86">
          <cell r="F86" t="str">
            <v>昆山市花桥镇新得欧电子中心</v>
          </cell>
          <cell r="G86">
            <v>45785</v>
          </cell>
          <cell r="H86" t="str">
            <v>即期</v>
          </cell>
        </row>
        <row r="87">
          <cell r="F87" t="str">
            <v>常州同惠电子股份有限公司</v>
          </cell>
        </row>
        <row r="87">
          <cell r="H87" t="str">
            <v>即期</v>
          </cell>
        </row>
        <row r="88">
          <cell r="F88" t="str">
            <v>温州电测科学仪器有限公司</v>
          </cell>
        </row>
        <row r="88">
          <cell r="H88" t="str">
            <v>即期</v>
          </cell>
        </row>
        <row r="89">
          <cell r="F89" t="str">
            <v>安乐励思科技（苏州）有限公司</v>
          </cell>
          <cell r="G89">
            <v>44602</v>
          </cell>
          <cell r="H89" t="str">
            <v>即期</v>
          </cell>
        </row>
        <row r="90">
          <cell r="F90" t="str">
            <v>广州致远电子有限公司</v>
          </cell>
          <cell r="G90">
            <v>43654</v>
          </cell>
          <cell r="H90" t="str">
            <v>即期</v>
          </cell>
        </row>
        <row r="91">
          <cell r="F91" t="str">
            <v>宁波柔印电子科技有限责任公司</v>
          </cell>
          <cell r="G91">
            <v>43661</v>
          </cell>
          <cell r="H91" t="str">
            <v>即期</v>
          </cell>
        </row>
        <row r="92">
          <cell r="F92" t="str">
            <v>苏州纳微科技股份有限公司</v>
          </cell>
          <cell r="G92">
            <v>43909</v>
          </cell>
          <cell r="H92" t="str">
            <v>预付</v>
          </cell>
        </row>
        <row r="93">
          <cell r="F93" t="str">
            <v>无锡远稳烯科技有限公司</v>
          </cell>
          <cell r="G93">
            <v>44000</v>
          </cell>
          <cell r="H93" t="str">
            <v>预付</v>
          </cell>
        </row>
        <row r="94">
          <cell r="F94" t="str">
            <v>邹平三好化工有限公司</v>
          </cell>
          <cell r="G94">
            <v>44033</v>
          </cell>
          <cell r="H94" t="str">
            <v>预付+即期</v>
          </cell>
        </row>
        <row r="95">
          <cell r="F95" t="str">
            <v>苏州纳格光电科技有限公司</v>
          </cell>
          <cell r="G95">
            <v>44113</v>
          </cell>
          <cell r="H95" t="str">
            <v>即期</v>
          </cell>
        </row>
        <row r="96">
          <cell r="F96" t="str">
            <v>苏州创印电子科技有限公司</v>
          </cell>
          <cell r="G96">
            <v>44511</v>
          </cell>
          <cell r="H96" t="str">
            <v>预付+即期</v>
          </cell>
        </row>
        <row r="97">
          <cell r="F97" t="str">
            <v>杭州奥得科技有限公司</v>
          </cell>
          <cell r="G97">
            <v>44520</v>
          </cell>
          <cell r="H97" t="str">
            <v>即期</v>
          </cell>
        </row>
        <row r="98">
          <cell r="F98" t="str">
            <v>苏州申赛新材料有限公司</v>
          </cell>
          <cell r="G98">
            <v>44897</v>
          </cell>
          <cell r="H98" t="str">
            <v>预付</v>
          </cell>
        </row>
        <row r="99">
          <cell r="F99" t="str">
            <v>安徽和和新材料有限公司</v>
          </cell>
          <cell r="G99">
            <v>44914</v>
          </cell>
          <cell r="H99" t="str">
            <v>预付</v>
          </cell>
        </row>
        <row r="100">
          <cell r="F100" t="str">
            <v>江苏中科聚合新材料产业技术研究院有限公司</v>
          </cell>
          <cell r="G100">
            <v>44924</v>
          </cell>
          <cell r="H100" t="str">
            <v>预付</v>
          </cell>
        </row>
        <row r="101">
          <cell r="F101" t="str">
            <v>常州福源科技新材料有限公司</v>
          </cell>
          <cell r="G101">
            <v>44960</v>
          </cell>
          <cell r="H101" t="str">
            <v>预付</v>
          </cell>
        </row>
        <row r="102">
          <cell r="F102" t="str">
            <v>深圳市立创电子商务有限公司</v>
          </cell>
          <cell r="G102">
            <v>44965</v>
          </cell>
          <cell r="H102" t="str">
            <v>预付</v>
          </cell>
        </row>
        <row r="103">
          <cell r="F103" t="str">
            <v>江苏宇飞特电子科技有限公司</v>
          </cell>
          <cell r="G103">
            <v>45129</v>
          </cell>
          <cell r="H103" t="str">
            <v>月结30天</v>
          </cell>
        </row>
        <row r="104">
          <cell r="F104" t="str">
            <v>苏州芬尼根光伏科技有限公司</v>
          </cell>
          <cell r="G104">
            <v>45261</v>
          </cell>
          <cell r="H104" t="str">
            <v>预付</v>
          </cell>
        </row>
        <row r="105">
          <cell r="F105" t="str">
            <v>金宏气体股份有限公司吴中分公司</v>
          </cell>
          <cell r="G105">
            <v>45383</v>
          </cell>
          <cell r="H105" t="str">
            <v>即期</v>
          </cell>
        </row>
        <row r="106">
          <cell r="F106" t="str">
            <v>深圳明嘉瑞科技有限公司</v>
          </cell>
          <cell r="G106">
            <v>45440</v>
          </cell>
          <cell r="H106" t="str">
            <v>预付</v>
          </cell>
        </row>
        <row r="107">
          <cell r="F107" t="str">
            <v>永亮金刚石材料科技无锡有限公司</v>
          </cell>
          <cell r="G107">
            <v>45471</v>
          </cell>
          <cell r="H107" t="str">
            <v>预付</v>
          </cell>
        </row>
        <row r="108">
          <cell r="F108" t="str">
            <v>上海振漠新材料有限公司</v>
          </cell>
          <cell r="G108">
            <v>45488</v>
          </cell>
          <cell r="H108" t="str">
            <v>预付</v>
          </cell>
        </row>
        <row r="109">
          <cell r="F109" t="str">
            <v>宁波今山新材料有限公司</v>
          </cell>
          <cell r="G109">
            <v>45498</v>
          </cell>
          <cell r="H109" t="str">
            <v>预付</v>
          </cell>
        </row>
        <row r="110">
          <cell r="F110" t="str">
            <v>昆山市华信三和电子有限公司</v>
          </cell>
          <cell r="G110">
            <v>45504</v>
          </cell>
          <cell r="H110" t="str">
            <v>现金</v>
          </cell>
        </row>
        <row r="111">
          <cell r="F111" t="str">
            <v>深圳市协达兴科技有限公司</v>
          </cell>
          <cell r="G111">
            <v>45505</v>
          </cell>
          <cell r="H111" t="str">
            <v>即期</v>
          </cell>
        </row>
        <row r="112">
          <cell r="F112" t="str">
            <v>常州同惠电子股份有限公司</v>
          </cell>
          <cell r="G112">
            <v>45513</v>
          </cell>
          <cell r="H112" t="str">
            <v>即期</v>
          </cell>
        </row>
        <row r="113">
          <cell r="F113" t="str">
            <v>苏州雅高电子材料有限公司</v>
          </cell>
          <cell r="G113">
            <v>45516</v>
          </cell>
          <cell r="H113" t="str">
            <v>即期</v>
          </cell>
        </row>
        <row r="114">
          <cell r="F114" t="str">
            <v>珠海凯为新材料技术有限公司</v>
          </cell>
          <cell r="G114">
            <v>45546</v>
          </cell>
          <cell r="H114" t="str">
            <v>预付</v>
          </cell>
        </row>
        <row r="115">
          <cell r="F115" t="str">
            <v>上海富辉塑化有限公司</v>
          </cell>
          <cell r="G115">
            <v>45547</v>
          </cell>
          <cell r="H115" t="str">
            <v>预付</v>
          </cell>
        </row>
        <row r="116">
          <cell r="F116" t="str">
            <v>常州欧耐斯特机电科技有限公司</v>
          </cell>
          <cell r="G116">
            <v>45596</v>
          </cell>
          <cell r="H116" t="str">
            <v>预付</v>
          </cell>
        </row>
        <row r="117">
          <cell r="F117" t="str">
            <v>深圳市田野岛电子有限公司</v>
          </cell>
          <cell r="G117">
            <v>45611</v>
          </cell>
          <cell r="H117" t="str">
            <v>预付</v>
          </cell>
        </row>
        <row r="118">
          <cell r="F118" t="str">
            <v>昆山梦航电子有限公司</v>
          </cell>
          <cell r="G118">
            <v>45630</v>
          </cell>
          <cell r="H118" t="str">
            <v>预付</v>
          </cell>
        </row>
        <row r="119">
          <cell r="F119" t="str">
            <v>苏州艾乐格电子科技有限公司</v>
          </cell>
          <cell r="G119">
            <v>45630</v>
          </cell>
          <cell r="H119" t="str">
            <v>即期</v>
          </cell>
        </row>
        <row r="120">
          <cell r="F120" t="str">
            <v>杭州微思创科技有限公司</v>
          </cell>
          <cell r="G120">
            <v>45696</v>
          </cell>
          <cell r="H120" t="str">
            <v>预付</v>
          </cell>
        </row>
        <row r="121">
          <cell r="F121" t="str">
            <v>嘉名半导体科技（苏州）有限公司</v>
          </cell>
          <cell r="G121">
            <v>45721</v>
          </cell>
          <cell r="H121" t="str">
            <v>预付</v>
          </cell>
        </row>
        <row r="122">
          <cell r="F122" t="str">
            <v>苏州雅高电子材料有限公司</v>
          </cell>
          <cell r="G122">
            <v>45741</v>
          </cell>
          <cell r="H122" t="str">
            <v>预付</v>
          </cell>
        </row>
        <row r="123">
          <cell r="F123" t="str">
            <v>杭州包尔得新材料科技有限公司</v>
          </cell>
          <cell r="G123">
            <v>45754</v>
          </cell>
          <cell r="H123" t="str">
            <v>即期</v>
          </cell>
        </row>
        <row r="124">
          <cell r="F124" t="str">
            <v>深圳云会新材料科技有限公司</v>
          </cell>
          <cell r="G124">
            <v>45764</v>
          </cell>
          <cell r="H124" t="str">
            <v>预付</v>
          </cell>
        </row>
        <row r="125">
          <cell r="F125" t="str">
            <v>武汉克米克生物医药技术有限公司</v>
          </cell>
          <cell r="G125">
            <v>45797</v>
          </cell>
          <cell r="H125" t="str">
            <v>预付</v>
          </cell>
        </row>
        <row r="126">
          <cell r="F126" t="str">
            <v>广州市怡晨电子科技有限公司</v>
          </cell>
          <cell r="G126">
            <v>45828</v>
          </cell>
          <cell r="H126" t="str">
            <v>预付</v>
          </cell>
        </row>
        <row r="127">
          <cell r="F127" t="str">
            <v>常州浩达科技股份有限公司</v>
          </cell>
        </row>
        <row r="128">
          <cell r="F128" t="str">
            <v>常州普雷特印刷科技有限公司</v>
          </cell>
        </row>
        <row r="129">
          <cell r="F129" t="str">
            <v>广东龙禹新材料科技有限公司</v>
          </cell>
        </row>
        <row r="130">
          <cell r="F130" t="str">
            <v>江苏航创新材料有限公司</v>
          </cell>
        </row>
        <row r="131">
          <cell r="F131" t="str">
            <v>靖江市莱得电子科技有限公司</v>
          </cell>
        </row>
        <row r="132">
          <cell r="F132" t="str">
            <v>柯斯飞科技（苏州）有限责任公司</v>
          </cell>
        </row>
        <row r="133">
          <cell r="F133" t="str">
            <v>南京苏展智能科技有限公司</v>
          </cell>
        </row>
        <row r="134">
          <cell r="F134" t="str">
            <v>柔微智能（苏州）科技有限公司</v>
          </cell>
        </row>
        <row r="135">
          <cell r="F135" t="str">
            <v>上海迪遒生物科技有限公司</v>
          </cell>
        </row>
        <row r="136">
          <cell r="F136" t="str">
            <v>深圳市宇恒电子科技有限公司</v>
          </cell>
        </row>
        <row r="137">
          <cell r="F137" t="str">
            <v>深圳市云会材料科技有限公司</v>
          </cell>
        </row>
        <row r="138">
          <cell r="F138" t="str">
            <v>深圳鑫精诚传感器技术有限公司</v>
          </cell>
        </row>
        <row r="138">
          <cell r="H138" t="str">
            <v>现付</v>
          </cell>
        </row>
        <row r="139">
          <cell r="F139" t="str">
            <v>苏州费斯生物科技有限公司</v>
          </cell>
        </row>
        <row r="140">
          <cell r="F140" t="str">
            <v>苏州品隆新材料有限公司</v>
          </cell>
        </row>
        <row r="141">
          <cell r="F141" t="str">
            <v>苏州赛凯电子科技有限公司</v>
          </cell>
        </row>
        <row r="142">
          <cell r="F142" t="str">
            <v>苏州市惠海精密科技有限公司</v>
          </cell>
        </row>
        <row r="143">
          <cell r="F143" t="str">
            <v>苏州泰克银纤维科技有限公司</v>
          </cell>
        </row>
        <row r="144">
          <cell r="F144" t="str">
            <v>苏州阳晨自动化科技有限公司</v>
          </cell>
        </row>
        <row r="145">
          <cell r="F145" t="str">
            <v>苏州迎安电子科技有限公司</v>
          </cell>
        </row>
        <row r="146">
          <cell r="F146" t="str">
            <v>苏州正格新材料科技有限公司</v>
          </cell>
        </row>
        <row r="147">
          <cell r="F147" t="str">
            <v>无锡时成电子科技有限公司</v>
          </cell>
        </row>
        <row r="148">
          <cell r="F148" t="str">
            <v>无锡市华润特种胶带有限公司</v>
          </cell>
        </row>
        <row r="148">
          <cell r="H148" t="str">
            <v>月结</v>
          </cell>
        </row>
        <row r="149">
          <cell r="F149" t="str">
            <v>吴江市靖能纺织品有限公司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79.5711458333" refreshedBy="Lenovo" recordCount="218">
  <cacheSource type="worksheet">
    <worksheetSource ref="A2:Q220" sheet="Sheet1"/>
  </cacheSource>
  <cacheFields count="17">
    <cacheField name="序号" numFmtId="0">
      <sharedItems containsSemiMixedTypes="0" containsString="0" containsNumber="1" containsInteger="1" minValue="0" maxValue="218" count="2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</sharedItems>
    </cacheField>
    <cacheField name="请购人" numFmtId="0">
      <sharedItems containsString="0" containsBlank="1" containsNonDate="0" count="1">
        <m/>
      </sharedItems>
    </cacheField>
    <cacheField name="请购类别" numFmtId="0">
      <sharedItems count="1">
        <s v="材料"/>
      </sharedItems>
    </cacheField>
    <cacheField name="项目" numFmtId="0">
      <sharedItems containsString="0" containsBlank="1" containsNonDate="0" count="1">
        <m/>
      </sharedItems>
    </cacheField>
    <cacheField name="交易方" numFmtId="14">
      <sharedItems containsBlank="1" count="3">
        <s v="智能"/>
        <s v="超材料"/>
        <m/>
      </sharedItems>
    </cacheField>
    <cacheField name="产品名称" numFmtId="0">
      <sharedItems containsBlank="1" count="147">
        <s v="ZigBee 模块"/>
        <s v="银浆"/>
        <s v="液晶间隔物"/>
        <s v="印刷电极"/>
        <s v="打样费/网版费"/>
        <s v="碳纳米管薄膜"/>
        <s v="4-硝基苯甲酸丁酯"/>
        <s v="印刷线路-叠盘机"/>
        <s v="印刷电极电路"/>
        <s v="传感器电极"/>
        <s v="聚"/>
        <s v="双萘并"/>
        <s v="二氢"/>
        <s v="智能地毯"/>
        <s v="网版费"/>
        <s v="脉搏电极"/>
        <s v="不打孔TPU12"/>
        <s v="黑丝导电胶膜TD301-03B"/>
        <s v="阻燃 MPP15"/>
        <s v="芯片"/>
        <s v="10K 1% 3950 1%漆包线芯片"/>
        <s v="钙钛矿前驱材料"/>
        <s v="液氮"/>
        <s v="送货费"/>
        <s v="LTC3265EDHC# PBF"/>
        <s v="碳材料"/>
        <s v="LTC2326IMS-16#PBF "/>
        <s v="LT1961EMS8E#PBF"/>
        <s v="LTC3265EDHC#PBF"/>
        <s v="吸音尖劈海绵"/>
        <s v="聚酰亚胺薄膜"/>
        <s v="绝缘油"/>
        <s v="ADI 开发板"/>
        <s v="ST 意法 开发板"/>
        <s v="3M 467胶"/>
        <s v="PEDOT： PSS导电颗粒"/>
        <s v="TPU"/>
        <s v="导电碳浆"/>
        <s v="TI TSSOP-16"/>
        <s v="STM LQFP48"/>
        <s v="ADI SOT-23-5"/>
        <s v="薄膜"/>
        <s v="TE-11C"/>
        <s v="PDSM膜 "/>
        <s v="传感器电极打样费"/>
        <s v="芯片 12款"/>
        <s v="3M 7533"/>
        <s v="PDMS薄膜"/>
        <s v="压力传感油墨"/>
        <s v="聚苯乙烯磺酸钠"/>
        <s v="芯片 4款"/>
        <s v="导热硅胶 YC691-R"/>
        <s v="导热硅胶 YC691-B"/>
        <s v="导电胶"/>
        <s v="斑马条压敏布成品"/>
        <s v="足底压力传感器"/>
        <m/>
        <s v="M型刮胶"/>
        <s v="高阻碳"/>
        <s v="低阻碳"/>
        <s v="3M 9448A 胶"/>
        <s v="线路银浆"/>
        <s v="PI薄膜"/>
        <s v="指尖塑胶壳3D-0829"/>
        <s v="银粉"/>
        <s v="3M 9448A"/>
        <s v="涤纶网布"/>
        <s v="树脂"/>
        <s v="固化剂"/>
        <s v="促进剂"/>
        <s v="高透光油"/>
        <s v="PI单面胶 K225F"/>
        <s v="搅拌机夹具"/>
        <s v="无水乙醇"/>
        <s v="75度刮胶条"/>
        <s v="德莎88676胶"/>
        <s v="Gerber 36码 左&amp;右"/>
        <s v="银浆树脂"/>
        <s v="0.05mmPI膜"/>
        <s v="一拖八FPC排线"/>
        <s v="压力传感器"/>
        <s v="油墨*高阻碳"/>
        <s v="汉高UV绿油"/>
        <s v="银纳米线"/>
        <s v="Gerber 44码-左 2025-08-28"/>
        <s v="Gerber 44码-右 2025-08-28"/>
        <s v="Gerber 36码-左 2025-08-28"/>
        <s v="Gerber 36码-右 2025-08-28"/>
        <s v="Gerber 36码-左 2025-08-29"/>
        <s v="尖3D-0715"/>
        <s v="Gerber_38_码-左_2025-12-08"/>
        <s v="Gerber_38_码-右_2025-12-08"/>
        <s v="Gerber_40_码-左_2025-12-08"/>
        <s v="Gerber_40_码-右_2025-12-08"/>
        <s v="Gerber_42_码-左_2025-12-08"/>
        <s v="Gerber_42_码-右_2025-12-08"/>
        <s v="Gerber_ZYH504-S5-FPC拼版- 2025-07-04"/>
        <s v="Gerber_ZYH504-S4-FPC拼版- 2025-07-04"/>
        <s v="Gerber_ZYH504-S3-FPC拼版 2025-07-04"/>
        <s v="指尖黑色POM外壳（埋M1.6铜螺母）"/>
        <s v="50umPET双面胶_x000a_HC-DT50-31 "/>
        <s v="100umPET双面胶_x000a_HC-DT100-31"/>
        <s v="3M 9448A "/>
        <s v="工装设计与制造"/>
        <s v="0.05mm PI_x000a_CN50"/>
        <s v="PI单面胶（硅胶）_x000a_LD-PI2560"/>
        <s v="组装费"/>
        <s v="ZYH504-S3码-左-背胶"/>
        <s v="ZYH504-S3码-右-背胶"/>
        <s v="ZYH504-S3码-左-布"/>
        <s v="ZYH504-S3码-右-布"/>
        <s v="ZYH504-S4码-左-背胶-V2.1"/>
        <s v="ZYH504-S4码-右-背胶-V2.1"/>
        <s v="ZYH504-S5码-左-背胶-V2.1"/>
        <s v="ZYH504-S5码-右-背胶-V2.1"/>
        <s v="ZYH504-S4码-左-布-V2.1"/>
        <s v="ZYH504-S4码-右-布-V2.1"/>
        <s v="ZYH504-S5码-左-布-V2.1"/>
        <s v="ZYH504-S5码-右-布-V2.1"/>
        <s v="ZYH526-38码-左-背胶"/>
        <s v="ZYH526-38码-右-背胶"/>
        <s v="ZYH526-38码-左-布"/>
        <s v="ZYH526-38码-右-布"/>
        <s v="ZYH526-40码-左-背胶"/>
        <s v="ZYH526-40码-右-背胶"/>
        <s v="ZYH526-40码-左-布"/>
        <s v="ZYH526-40码-右-布"/>
        <s v="ZYH526-42码-左-背胶"/>
        <s v="ZYH526-42码-右-背胶"/>
        <s v="ZYH526-42码-左-布"/>
        <s v="ZYH526-42码-右-布"/>
        <s v="ZYH526-44码-左-背胶"/>
        <s v="ZYH526-44码-右-背胶"/>
        <s v="ZYH526-44码-左-布"/>
        <s v="ZYH526-44码-右-布"/>
        <s v="高分子材料"/>
        <s v="活性炭口罩"/>
        <s v="高分子树脂"/>
        <s v="助剂"/>
        <s v="P824522聚苯胺"/>
        <s v="3M467双面胶"/>
        <s v="0.1PI膜"/>
        <s v="1-乙基-3-甲基咪唑双三氟甲磺酰亚胺盐"/>
        <s v="75度刮胶条-蓝色"/>
        <s v="银纤维面料复合布"/>
        <s v="黑色硅胶皮"/>
        <s v="透明PC双面覆膜"/>
      </sharedItems>
    </cacheField>
    <cacheField name="规格型号" numFmtId="0">
      <sharedItems containsBlank="1" containsNumber="1" containsMixedTypes="1" count="118">
        <s v="AW5161P0EF"/>
        <s v="HFSP-44"/>
        <s v="HT100"/>
        <s v="GD100"/>
        <s v="Si 100"/>
        <m/>
        <s v="强度100MPA左右"/>
        <s v="PET"/>
        <s v="CAS：120-48-9 纯度98%"/>
        <s v="PET125um"/>
        <s v="A1/B1 PET 188um"/>
        <n v="0.99"/>
        <s v="升华纯"/>
        <s v="V2.0 PET 188um"/>
        <s v="V1.0 PET 50um"/>
        <s v="CY-44 线路银浆"/>
        <s v="1900*1250*0.7mm 白色"/>
        <s v="1900*1250*1mm 白色"/>
        <s v="1070CM"/>
        <s v="500*500*5"/>
        <s v="尺寸 0.74*0.74*0.27"/>
        <s v="PAPI "/>
        <n v="0.99999"/>
        <s v="ADI DFN-18"/>
        <s v="ADI MSOP-16"/>
        <s v="ADI MSOP-8"/>
        <s v="200*200*200"/>
        <s v="CN50 0.050MM*520MM*200M "/>
        <s v="LOCTITE EDAG 452SS"/>
        <s v="EVAL-CN0540-ARDZ"/>
        <s v="STM32F746G-DISCO"/>
        <s v="O-Dry 5g/瓶"/>
        <s v="1185A"/>
        <s v="CN100 0.100MM*520MM*100M*1R"/>
        <s v="Field-808"/>
        <s v="TMUX1208PWR"/>
        <s v="STM32G070CBT6"/>
        <s v="AD8605ARTZ-REEL7 "/>
        <s v="0.03mm*1100mm*30m"/>
        <s v="250mm*80m"/>
        <s v="DC100 320mm毛边*10m*0.1mm"/>
        <s v="TI/ADI/STM/MICROHIP"/>
        <s v="3KG "/>
        <s v="BD-9040PF 0.1mm厚"/>
        <s v="CN50 0.050MM*520MM"/>
        <s v="40K"/>
        <s v="3000K"/>
        <s v="20万分子量"/>
        <s v="TI/ADI/STM"/>
        <s v="500G/支"/>
        <s v="501G/支"/>
        <s v="3M 7303胶"/>
        <s v="50cm*50cm"/>
        <s v="ZYH504-S3-FPC拼版-V1.0"/>
        <s v="ZYH504-S4-FPC拼版-V1.0"/>
        <s v="ZYH504-S5-FPC拼版-V1.0"/>
        <s v="SPS-M-5*35*1950-75A蓝"/>
        <s v="SPS-M-5*35*1950-83A黄"/>
        <s v="260mm*50m"/>
        <s v="Perno-5106"/>
        <s v="厚度0.1"/>
        <s v="厚度0.025"/>
        <s v="POM-纯黑 机加件-按图"/>
        <s v="20-15"/>
        <s v="N315"/>
        <s v="250mm*50m"/>
        <s v="CY-44"/>
        <s v="LY810"/>
        <s v="LY936"/>
        <s v="LY710"/>
        <s v="LY8560"/>
        <s v="PR-801H"/>
        <s v="P-19"/>
        <s v="250mm宽幅*33米"/>
        <s v="30ml"/>
        <s v="50mm*9mm"/>
        <s v="240mm*100m未锐"/>
        <s v="FPCA "/>
        <s v="PR-9700"/>
        <s v="520mm*100mm"/>
        <s v="两层，按图纸及工艺要求"/>
        <s v="RWP-001"/>
        <s v="RW-2M-8419"/>
        <s v="452SS"/>
        <s v="40-50nm，长度10-20um"/>
        <s v="FPCA"/>
        <s v="背胶"/>
        <s v="布+双面胶"/>
        <s v="S"/>
        <s v="M"/>
        <s v="L"/>
        <s v="SPS-M-5*35*1950-70A"/>
        <s v="SPS-M-5*35*1950-75A"/>
        <s v="机加件-按图"/>
        <s v="1020mm*200m"/>
        <s v="单卷宽度257mm"/>
        <s v="PO4L"/>
        <s v="见图纸"/>
        <s v="5L/桶"/>
        <s v="260mm*190m"/>
        <s v="250mm*33米"/>
        <s v="XJC-Y18-5K+XJC-608T-F-R4-V"/>
        <s v="鞋垫"/>
        <s v="靴子"/>
        <s v="ZY-26-001"/>
        <s v="ZY-25-001"/>
        <s v="50个/盒"/>
        <s v="ZY-26-002"/>
        <s v="P-105"/>
        <s v="P-125"/>
        <s v="25g/瓶"/>
        <s v="1240mm*55m"/>
        <s v="520mm*200cm"/>
        <s v="25 g"/>
        <s v="50*9*2000mm"/>
        <s v="1.45米宽"/>
        <s v="T0.65mm*215*300mm"/>
        <s v="980mm*1830mm*1.0mm"/>
      </sharedItems>
    </cacheField>
    <cacheField name="数量 " numFmtId="0">
      <sharedItems containsString="0" containsBlank="1" containsNumber="1" minValue="0" maxValue="10000" count="56">
        <n v="3"/>
        <n v="1000"/>
        <n v="15"/>
        <n v="5"/>
        <n v="50"/>
        <n v="2"/>
        <n v="1"/>
        <n v="6"/>
        <n v="20"/>
        <n v="10"/>
        <n v="100"/>
        <n v="200"/>
        <n v="3000"/>
        <n v="4"/>
        <n v="8"/>
        <n v="321"/>
        <n v="80"/>
        <m/>
        <n v="10000"/>
        <n v="325"/>
        <n v="300"/>
        <n v="280"/>
        <n v="104"/>
        <n v="25"/>
        <n v="52"/>
        <n v="160"/>
        <n v="33"/>
        <n v="30"/>
        <n v="40"/>
        <n v="51"/>
        <n v="69.68"/>
        <n v="76.7"/>
        <n v="0.1"/>
        <n v="24"/>
        <n v="0.3"/>
        <n v="16.5"/>
        <n v="138"/>
        <n v="170"/>
        <n v="201"/>
        <n v="258"/>
        <n v="1600"/>
        <n v="1800"/>
        <n v="204"/>
        <n v="0.5"/>
        <n v="350"/>
        <n v="49.4"/>
        <n v="5000"/>
        <n v="965"/>
        <n v="856"/>
        <n v="215"/>
        <n v="276"/>
        <n v="158"/>
        <n v="500"/>
        <n v="16.22"/>
        <n v="7"/>
        <n v="8.96"/>
      </sharedItems>
    </cacheField>
    <cacheField name="单位" numFmtId="0">
      <sharedItems containsBlank="1" count="29">
        <s v="块"/>
        <s v="克"/>
        <s v="套"/>
        <s v="平米"/>
        <s v="KG"/>
        <s v="张"/>
        <s v="公斤"/>
        <m/>
        <s v="平方"/>
        <s v="个"/>
        <s v="10L/瓶"/>
        <s v="次"/>
        <s v="平方米"/>
        <s v="PCS"/>
        <s v="只"/>
        <s v="1KG/桶"/>
        <s v="桶"/>
        <s v="PC"/>
        <s v="片"/>
        <s v="双"/>
        <s v="根"/>
        <s v="KG "/>
        <s v="R "/>
        <s v="卷"/>
        <s v="ml"/>
        <s v="g"/>
        <s v="盒"/>
        <s v="瓶"/>
        <s v="R"/>
      </sharedItems>
    </cacheField>
    <cacheField name="需求日期" numFmtId="0">
      <sharedItems containsString="0" containsBlank="1" containsNonDate="0" count="1">
        <m/>
      </sharedItems>
    </cacheField>
    <cacheField name="含税单价" numFmtId="0">
      <sharedItems containsString="0" containsBlank="1" containsNumber="1" minValue="0" maxValue="6806" count="109">
        <n v="25"/>
        <n v="2.8"/>
        <n v="100"/>
        <n v="305"/>
        <n v="150"/>
        <n v="10"/>
        <n v="1130"/>
        <n v="1100"/>
        <n v="2000"/>
        <n v="2500"/>
        <n v="15"/>
        <n v="1200"/>
        <n v="800"/>
        <n v="700"/>
        <n v="3500"/>
        <n v="5000"/>
        <n v="200"/>
        <n v="900"/>
        <n v="12"/>
        <n v="650"/>
        <n v="90"/>
        <n v="775"/>
        <n v="3300"/>
        <n v="50"/>
        <n v="55"/>
        <n v="13.5"/>
        <n v="6.75"/>
        <m/>
        <n v="3200"/>
        <n v="0.045"/>
        <n v="4000"/>
        <n v="3400"/>
        <n v="88.5"/>
        <n v="55.04"/>
        <n v="56.5"/>
        <n v="1000"/>
        <n v="300"/>
        <n v="20"/>
        <n v="7.5"/>
        <n v="860"/>
        <n v="1864.5"/>
        <n v="542.4"/>
        <n v="1780"/>
        <n v="250"/>
        <n v="30"/>
        <n v="40"/>
        <n v="4500"/>
        <n v="580"/>
        <n v="1.9"/>
        <n v="5"/>
        <n v="2.5"/>
        <n v="114"/>
        <n v="500"/>
        <n v="54"/>
        <n v="350"/>
        <n v="70"/>
        <n v="1800"/>
        <n v="130"/>
        <n v="2.3"/>
        <n v="125"/>
        <n v="410"/>
        <n v="95"/>
        <n v="85"/>
        <n v="400"/>
        <n v="1700"/>
        <n v="355"/>
        <n v="6100"/>
        <n v="111"/>
        <n v="6806"/>
        <n v="42.43"/>
        <n v="1500"/>
        <n v="220"/>
        <n v="450"/>
        <n v="26"/>
        <n v="83"/>
        <n v="33.9"/>
        <n v="27.59"/>
        <n v="1655"/>
        <n v="18"/>
        <n v="32.7872"/>
        <n v="0.146"/>
        <n v="0.16"/>
        <n v="14.5"/>
        <n v="28.7872"/>
        <n v="30.0872"/>
        <n v="31.4872"/>
        <n v="28.2625"/>
        <n v="31.6125"/>
        <n v="32.7625"/>
        <n v="14"/>
        <n v="17.2"/>
        <n v="26.7"/>
        <n v="17"/>
        <n v="1600"/>
        <n v="3.6"/>
        <n v="0.198"/>
        <n v="0.288"/>
        <n v="108"/>
        <n v="1.5"/>
        <n v="13"/>
        <n v="78"/>
        <n v="520"/>
        <n v="550"/>
        <n v="81"/>
        <n v="22.5"/>
        <n v="107.915"/>
        <n v="780"/>
        <n v="8"/>
        <n v="115"/>
      </sharedItems>
    </cacheField>
    <cacheField name="税率" numFmtId="9">
      <sharedItems containsSemiMixedTypes="0" containsString="0" containsNumber="1" minValue="0" maxValue="0.13" count="1">
        <n v="0.13"/>
      </sharedItems>
    </cacheField>
    <cacheField name="总价" numFmtId="4">
      <sharedItems containsSemiMixedTypes="0" containsString="0" containsNumber="1" minValue="0" maxValue="1300000" count="138">
        <n v="75"/>
        <n v="2800"/>
        <n v="375"/>
        <n v="500"/>
        <n v="1525"/>
        <n v="750"/>
        <n v="2260"/>
        <n v="1100"/>
        <n v="12000"/>
        <n v="2500"/>
        <n v="300"/>
        <n v="1200"/>
        <n v="100"/>
        <n v="800"/>
        <n v="200"/>
        <n v="1400"/>
        <n v="1000"/>
        <n v="700000"/>
        <n v="500000"/>
        <n v="600000"/>
        <n v="4500"/>
        <n v="600"/>
        <n v="650"/>
        <n v="1800"/>
        <n v="6200"/>
        <n v="6600"/>
        <n v="550"/>
        <n v="4333.5"/>
        <n v="540"/>
        <n v="675"/>
        <n v="226.7"/>
        <n v="3200"/>
        <n v="450"/>
        <n v="1300000"/>
        <n v="3400"/>
        <n v="88.5"/>
        <n v="55.04"/>
        <n v="282.5"/>
        <n v="300000"/>
        <n v="1500"/>
        <n v="169.5"/>
        <n v="2100"/>
        <n v="2080"/>
        <n v="860"/>
        <n v="1864.5"/>
        <n v="542.4"/>
        <n v="1780"/>
        <n v="1160"/>
        <n v="304"/>
        <n v="990"/>
        <n v="2280"/>
        <n v="5400"/>
        <n v="1571.9"/>
        <n v="13977.43"/>
        <n v="350"/>
        <n v="4000"/>
        <n v="3000"/>
        <n v="700"/>
        <n v="3600"/>
        <n v="3900"/>
        <n v="230"/>
        <n v="546.5"/>
        <n v="250"/>
        <n v="820"/>
        <n v="950"/>
        <n v="850"/>
        <n v="400"/>
        <n v="6800"/>
        <n v="355"/>
        <n v="6100"/>
        <n v="520"/>
        <n v="1110"/>
        <n v="1600"/>
        <n v="51000"/>
        <n v="2787.2"/>
        <n v="13612"/>
        <n v="3254.381"/>
        <n v="900"/>
        <n v="50"/>
        <n v="150"/>
        <n v="960"/>
        <n v="1320"/>
        <n v="135"/>
        <n v="429"/>
        <n v="415"/>
        <n v="813.6"/>
        <n v="249"/>
        <n v="8277"/>
        <n v="1040"/>
        <n v="8275"/>
        <n v="50000"/>
        <n v="4524.6336"/>
        <n v="24.82"/>
        <n v="27.2"/>
        <n v="725"/>
        <n v="5786.2272"/>
        <n v="8424.416"/>
        <n v="8123.6976"/>
        <n v="45220"/>
        <n v="50580"/>
        <n v="58972.5"/>
        <n v="2856"/>
        <n v="3508.8"/>
        <n v="225"/>
        <n v="14850.5"/>
        <n v="9345"/>
        <n v="83"/>
        <n v="988"/>
        <n v="858"/>
        <n v="1008"/>
        <n v="18000"/>
        <n v="191.07"/>
        <n v="277.92"/>
        <n v="169.488"/>
        <n v="246.528"/>
        <n v="31.39"/>
        <n v="34.4"/>
        <n v="43.8"/>
        <n v="48"/>
        <n v="40.296"/>
        <n v="44.16"/>
        <n v="23.068"/>
        <n v="25.28"/>
        <n v="2160"/>
        <n v="65"/>
        <n v="780"/>
        <n v="688.2146"/>
        <n v="52"/>
        <n v="55"/>
        <n v="162"/>
        <n v="2340"/>
        <n v="581"/>
        <n v="107.915"/>
        <n v="275"/>
        <n v="7800"/>
        <n v="290"/>
        <n v="160"/>
        <n v="1030.4"/>
      </sharedItems>
    </cacheField>
    <cacheField name="供应商名称" numFmtId="0">
      <sharedItems containsBlank="1" count="59">
        <s v="广州致远电子有限公司"/>
        <s v="宁波柔印电子科技有限责任公司"/>
        <s v="苏州纳微科技股份有限公司"/>
        <s v="无锡远稳烯科技有限公司"/>
        <s v="邹平三好化工有限公司"/>
        <s v="苏州纳格光电科技有限公司"/>
        <s v="苏州创印电子科技有限公司"/>
        <s v="杭州奥得科技有限公司"/>
        <s v="苏州申赛新材料有限公司"/>
        <s v="安徽和和新材料有限公司"/>
        <s v="江苏中科聚合新材料产业技术研究院有限公司"/>
        <s v="常州福源科技新材料有限公司"/>
        <s v="深圳市立创电子商务有限公司"/>
        <s v="江苏宇飞特电子科技有限公司"/>
        <s v="苏州芬尼根光伏科技有限公司"/>
        <s v="金宏气体股份有限公司吴中分公司"/>
        <s v="深圳明嘉瑞科技有限公司"/>
        <s v="永亮金刚石材料科技无锡有限公司"/>
        <s v="上海振漠新材料有限公司"/>
        <s v="宁波今山新材料有限公司"/>
        <s v="昆山市华信三和电子有限公司"/>
        <s v="深圳市协达兴科技有限公司"/>
        <s v="苏州雅高电子材料有限公司"/>
        <s v="珠海凯为新材料技术有限公司"/>
        <s v="上海富辉塑化有限公司"/>
        <s v="深圳市田野岛电子有限公司"/>
        <s v="昆山梦航电子有限公司"/>
        <s v="苏州艾乐格电子科技有限公司"/>
        <s v="杭州微思创科技有限公司"/>
        <s v="杭州包尔得新材料科技有限公司"/>
        <s v="深圳云会新材料科技有限公司"/>
        <s v="武汉克米克生物医药技术有限公司"/>
        <s v="广州市怡晨电子科技有限公司"/>
        <m/>
        <s v="苏州泰克银纤维科技有限公司"/>
        <s v="深圳市云会材料科技有限公司"/>
        <s v="深圳市宇恒电子科技有限公司"/>
        <s v="常州普雷特印刷科技有限公司"/>
        <s v="吴中区光福明户创机械加工厂"/>
        <s v="苏州市惠海精密科技有限公司"/>
        <s v="柯斯飞科技（苏州）有限责任公司"/>
        <s v="吴江市靖能纺织品有限公司"/>
        <s v="广东龙禹新材料科技有限公司"/>
        <s v="苏州品隆新材料有限公司"/>
        <s v="靖江市莱得电子科技有限公司"/>
        <s v="洛八汉精密机械（苏州）有限公司"/>
        <s v="苏州费斯生物科技有限公司"/>
        <s v="苏州正格新材料科技有限公司"/>
        <s v="苏州迎安电子科技有限公司"/>
        <s v="苏州赛凯电子科技有限公司"/>
        <s v="柔微智能（苏州）科技有限公司"/>
        <s v="南京苏展智能科技有限公司"/>
        <s v="常州浩达科技股份有限公司"/>
        <s v="无锡时成电子科技有限公司"/>
        <s v="江苏航创新材料有限公司"/>
        <s v="苏州阳晨自动化科技有限公司"/>
        <s v="深圳鑫精诚传感器技术有限公司"/>
        <s v="上海迪遒生物科技有限公司"/>
        <s v="无锡市华润特种胶带有限公司"/>
      </sharedItems>
    </cacheField>
    <cacheField name="合同日期" numFmtId="14">
      <sharedItems containsString="0" containsBlank="1" containsNonDate="0" containsDate="1" minDate="2019-07-08T00:00:00" maxDate="2026-02-02T00:00:00" count="117">
        <d v="2019-07-08T00:00:00"/>
        <d v="2019-07-15T00:00:00"/>
        <d v="2019-11-21T00:00:00"/>
        <d v="2020-03-19T00:00:00"/>
        <d v="2020-03-20T00:00:00"/>
        <d v="2020-05-12T00:00:00"/>
        <d v="2020-05-21T00:00:00"/>
        <d v="2020-06-18T00:00:00"/>
        <d v="2020-06-22T00:00:00"/>
        <d v="2020-07-21T00:00:00"/>
        <d v="2020-09-20T00:00:00"/>
        <d v="2020-10-09T00:00:00"/>
        <d v="2020-10-17T00:00:00"/>
        <d v="2020-10-20T00:00:00"/>
        <d v="2021-11-11T00:00:00"/>
        <d v="2021-11-20T00:00:00"/>
        <d v="2021-12-20T00:00:00"/>
        <d v="2021-12-23T00:00:00"/>
        <d v="2022-02-09T00:00:00"/>
        <d v="2022-04-06T00:00:00"/>
        <d v="2022-11-10T00:00:00"/>
        <d v="2022-12-02T00:00:00"/>
        <d v="2022-12-19T00:00:00"/>
        <d v="2022-12-29T00:00:00"/>
        <d v="2023-02-03T00:00:00"/>
        <d v="2023-02-08T00:00:00"/>
        <d v="2023-02-15T00:00:00"/>
        <d v="2023-07-22T00:00:00"/>
        <d v="2023-12-01T00:00:00"/>
        <d v="2023-12-19T00:00:00"/>
        <d v="2024-04-01T00:00:00"/>
        <d v="2024-05-28T00:00:00"/>
        <d v="2024-06-28T00:00:00"/>
        <d v="2024-07-05T00:00:00"/>
        <d v="2024-07-15T00:00:00"/>
        <d v="2024-07-25T00:00:00"/>
        <d v="2024-07-31T00:00:00"/>
        <d v="2024-08-01T00:00:00"/>
        <d v="2024-08-12T00:00:00"/>
        <d v="2024-09-11T00:00:00"/>
        <d v="2024-09-12T00:00:00"/>
        <d v="2024-10-15T00:00:00"/>
        <d v="2024-11-13T00:00:00"/>
        <d v="2024-11-15T00:00:00"/>
        <d v="2024-11-27T00:00:00"/>
        <d v="2024-12-04T00:00:00"/>
        <d v="2025-02-06T00:00:00"/>
        <d v="2025-02-08T00:00:00"/>
        <d v="2025-02-21T00:00:00"/>
        <d v="2025-03-13T00:00:00"/>
        <d v="2025-03-25T00:00:00"/>
        <d v="2025-04-02T00:00:00"/>
        <d v="2025-04-07T00:00:00"/>
        <d v="2025-04-10T00:00:00"/>
        <d v="2025-04-11T00:00:00"/>
        <d v="2025-04-14T00:00:00"/>
        <d v="2025-04-17T00:00:00"/>
        <d v="2025-05-10T00:00:00"/>
        <d v="2025-05-20T00:00:00"/>
        <d v="2025-05-22T00:00:00"/>
        <d v="2025-06-20T00:00:00"/>
        <m/>
        <d v="2025-06-23T00:00:00"/>
        <d v="2025-06-21T00:00:00"/>
        <d v="2025-07-08T00:00:00"/>
        <d v="2025-07-29T00:00:00"/>
        <d v="2025-07-30T00:00:00"/>
        <d v="2025-08-01T00:00:00"/>
        <d v="2025-08-07T00:00:00"/>
        <d v="2025-08-11T00:00:00"/>
        <d v="2025-08-12T00:00:00"/>
        <d v="2025-09-02T00:00:00"/>
        <d v="2025-09-08T00:00:00"/>
        <d v="2025-09-15T00:00:00"/>
        <d v="2025-09-22T00:00:00"/>
        <d v="2025-09-23T00:00:00"/>
        <d v="2025-09-28T00:00:00"/>
        <d v="2025-10-09T00:00:00"/>
        <d v="2025-10-22T00:00:00"/>
        <d v="2025-10-25T00:00:00"/>
        <d v="2025-10-27T00:00:00"/>
        <d v="2025-11-06T00:00:00"/>
        <d v="2025-11-05T00:00:00"/>
        <d v="2025-11-08T00:00:00"/>
        <d v="2025-11-11T00:00:00"/>
        <d v="2025-11-12T00:00:00"/>
        <d v="2025-11-19T00:00:00"/>
        <d v="2025-11-21T00:00:00"/>
        <d v="2025-11-20T00:00:00"/>
        <d v="2025-11-26T00:00:00"/>
        <d v="2025-11-27T00:00:00"/>
        <d v="2025-12-01T00:00:00"/>
        <d v="2025-12-02T00:00:00"/>
        <d v="2025-12-03T00:00:00"/>
        <d v="2025-12-08T00:00:00"/>
        <d v="2025-12-09T00:00:00"/>
        <d v="2025-12-10T00:00:00"/>
        <d v="2025-12-12T00:00:00"/>
        <d v="2025-12-15T00:00:00"/>
        <d v="2025-12-17T00:00:00"/>
        <d v="2025-12-22T00:00:00"/>
        <d v="2025-12-25T00:00:00"/>
        <d v="2025-12-26T00:00:00"/>
        <d v="2025-12-19T00:00:00"/>
        <d v="2026-01-06T00:00:00"/>
        <d v="2026-01-10T00:00:00"/>
        <d v="2026-01-08T00:00:00"/>
        <d v="2026-01-09T00:00:00"/>
        <d v="2026-01-12T00:00:00"/>
        <d v="2026-01-16T00:00:00"/>
        <d v="2026-01-14T00:00:00"/>
        <d v="2026-01-27T00:00:00"/>
        <d v="2026-01-26T00:00:00"/>
        <d v="2026-01-28T00:00:00"/>
        <d v="2026-01-29T00:00:00"/>
        <d v="2026-01-30T00:00:00"/>
        <d v="2026-02-02T00:00:00"/>
      </sharedItems>
    </cacheField>
    <cacheField name="合同编号" numFmtId="0">
      <sharedItems containsBlank="1" count="120">
        <s v="ZY-XS-190708-070"/>
        <s v="2019071502"/>
        <s v="ZY-XS-191121-051"/>
        <s v="20030235"/>
        <s v="20030252"/>
        <s v="20200512PEJWB "/>
        <s v="20200521PEJWB"/>
        <m/>
        <s v="20200622PEJWB"/>
        <s v="SH-20200721"/>
        <s v="20200920PEJWB"/>
        <s v="20201009PEJWB"/>
        <s v="20201009DPJJWB"/>
        <s v="20201017PEJWB"/>
        <s v="20201020PEJWB"/>
        <s v="20211111PEJWB"/>
        <s v="AD20211120-C032"/>
        <s v="20211220PEJWB"/>
        <s v="20211223PEJWB"/>
        <s v="20220209PEJWB"/>
        <s v="AD20220406-C025"/>
        <s v="20221110PEJWB"/>
        <s v="U-XS-20221202-02"/>
        <s v="HHRZ20221219"/>
        <s v="ZKXS220069"/>
        <s v="SO23020812241"/>
        <s v="20230215003PEJWB"/>
        <s v="RW2023120101"/>
        <s v="XCSO2405280230"/>
        <s v="XCSO2407050225"/>
        <s v="20240715"/>
        <s v="CEN-WT-240725"/>
        <s v="SWJX-CS01-20240731001"/>
        <s v="XDXINGXH08240006"/>
        <s v="PUR-20240911-11"/>
        <s v="YY-202409125"/>
        <s v="CEN-RW-241015"/>
        <s v="20241113006PEJWB"/>
        <s v="XCSO2411270259"/>
        <s v="RW 2024120401"/>
        <s v="ELG2024120401"/>
        <s v="PUR-20250206-12"/>
        <s v="20250208-1"/>
        <s v="20250208002PEJWB"/>
        <s v="20250402009PEJWB"/>
        <s v="Y20250407"/>
        <s v="202504100002PEJWB"/>
        <s v="CEN-YX-250411"/>
        <s v="202504140004PEJWB"/>
        <s v="YHX250417002"/>
        <s v="202505100005PEJWB"/>
        <s v="20250520"/>
        <s v="YC25061801"/>
        <s v="2025062301"/>
        <s v="PLT-250729-0021"/>
        <s v="20250807003PEJWB"/>
        <s v="CEN-RW-250811"/>
        <s v="CEN-RW-250828"/>
        <s v="RW-20250801S001"/>
        <s v="RW-20250908S002"/>
        <s v="RW-20250915S001"/>
        <s v="RW-20250922S001"/>
        <s v="RW-20250923S001"/>
        <s v="CEN-RW-250928"/>
        <s v="20251009002PEJWB"/>
        <s v="RW20251022S001"/>
        <s v="20251023-1"/>
        <s v="RW-20251027S001"/>
        <s v="RW-20251106S001"/>
        <s v="RW-20251105S001"/>
        <s v="PO-20250900051"/>
        <s v="RW-20251106S002"/>
        <s v="RW-20251111S001"/>
        <s v="RW-20251112S001"/>
        <s v="RW-20251119S002"/>
        <s v="RW-20251119S001"/>
        <s v="RW-20251121S001"/>
        <s v="RW-20251120S002"/>
        <s v="RW-20251120S001"/>
        <s v="RW-20251126S001"/>
        <s v="RW-20251127S001"/>
        <s v="RW-20251201S002"/>
        <s v="RW-20251202S001"/>
        <s v="RW-20251203S001"/>
        <s v="RW-20251208S001"/>
        <s v="RW-20251205S001"/>
        <s v="RW-20251209S001"/>
        <s v="RW-20251210S002"/>
        <s v="RW-20251210S001"/>
        <s v="RW-20251210S003"/>
        <s v="RW-20251212S001"/>
        <s v="RW-20251215S001"/>
        <s v="RW-20251215S002"/>
        <s v="RW-20251215S003"/>
        <s v="RW-20251217S002"/>
        <s v="RW-20251222S001"/>
        <s v="RW-20251225S001"/>
        <s v="RW-20251226S002"/>
        <s v="RW-20251226S001"/>
        <s v="RW-20251219S001"/>
        <s v="RW-20260106S001"/>
        <s v="RW-20251217S001"/>
        <s v="RW-20251219S002"/>
        <s v="RW-20251215S004"/>
        <s v="RW-20260107S001"/>
        <s v="RW-20260108S001"/>
        <s v="RW-20260109S001"/>
        <s v="RW-20260112S002"/>
        <s v="RW-20260112S001"/>
        <s v="RW-20260116S002"/>
        <s v="RW-20260116S001"/>
        <s v="RW-20260114S001"/>
        <s v="RW-20260125S001"/>
        <s v="RW-20260127S001"/>
        <s v="RW-20260128S001"/>
        <s v="RW-20260129S002"/>
        <s v="RW-20260130S001"/>
        <s v="T2026020203"/>
        <s v="RW-20260128S002"/>
        <s v="RW-20260129S001"/>
      </sharedItems>
    </cacheField>
    <cacheField name="供应商账期" numFmtId="0">
      <sharedItems count="6">
        <s v="即期"/>
        <s v="预付"/>
        <s v="预付+即期"/>
        <s v="月结30天"/>
        <s v="现金"/>
        <e v="#N/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8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1"/>
    <x v="1"/>
    <x v="1"/>
    <x v="0"/>
    <x v="1"/>
    <x v="0"/>
    <x v="1"/>
    <x v="1"/>
    <x v="1"/>
    <x v="1"/>
    <x v="0"/>
  </r>
  <r>
    <x v="2"/>
    <x v="0"/>
    <x v="0"/>
    <x v="0"/>
    <x v="0"/>
    <x v="0"/>
    <x v="0"/>
    <x v="2"/>
    <x v="0"/>
    <x v="0"/>
    <x v="0"/>
    <x v="0"/>
    <x v="2"/>
    <x v="0"/>
    <x v="2"/>
    <x v="2"/>
    <x v="0"/>
  </r>
  <r>
    <x v="3"/>
    <x v="0"/>
    <x v="0"/>
    <x v="0"/>
    <x v="0"/>
    <x v="2"/>
    <x v="2"/>
    <x v="3"/>
    <x v="1"/>
    <x v="0"/>
    <x v="2"/>
    <x v="0"/>
    <x v="3"/>
    <x v="2"/>
    <x v="3"/>
    <x v="3"/>
    <x v="1"/>
  </r>
  <r>
    <x v="4"/>
    <x v="0"/>
    <x v="0"/>
    <x v="0"/>
    <x v="0"/>
    <x v="2"/>
    <x v="3"/>
    <x v="3"/>
    <x v="1"/>
    <x v="0"/>
    <x v="3"/>
    <x v="0"/>
    <x v="4"/>
    <x v="2"/>
    <x v="3"/>
    <x v="3"/>
    <x v="1"/>
  </r>
  <r>
    <x v="5"/>
    <x v="0"/>
    <x v="0"/>
    <x v="0"/>
    <x v="0"/>
    <x v="2"/>
    <x v="4"/>
    <x v="3"/>
    <x v="1"/>
    <x v="0"/>
    <x v="4"/>
    <x v="0"/>
    <x v="5"/>
    <x v="2"/>
    <x v="4"/>
    <x v="4"/>
    <x v="1"/>
  </r>
  <r>
    <x v="6"/>
    <x v="0"/>
    <x v="0"/>
    <x v="0"/>
    <x v="0"/>
    <x v="3"/>
    <x v="5"/>
    <x v="4"/>
    <x v="2"/>
    <x v="0"/>
    <x v="5"/>
    <x v="0"/>
    <x v="3"/>
    <x v="1"/>
    <x v="5"/>
    <x v="5"/>
    <x v="0"/>
  </r>
  <r>
    <x v="7"/>
    <x v="0"/>
    <x v="0"/>
    <x v="0"/>
    <x v="0"/>
    <x v="4"/>
    <x v="5"/>
    <x v="5"/>
    <x v="0"/>
    <x v="0"/>
    <x v="6"/>
    <x v="0"/>
    <x v="6"/>
    <x v="1"/>
    <x v="5"/>
    <x v="5"/>
    <x v="0"/>
  </r>
  <r>
    <x v="8"/>
    <x v="0"/>
    <x v="0"/>
    <x v="0"/>
    <x v="0"/>
    <x v="3"/>
    <x v="5"/>
    <x v="4"/>
    <x v="2"/>
    <x v="0"/>
    <x v="5"/>
    <x v="0"/>
    <x v="3"/>
    <x v="1"/>
    <x v="6"/>
    <x v="6"/>
    <x v="0"/>
  </r>
  <r>
    <x v="9"/>
    <x v="0"/>
    <x v="0"/>
    <x v="0"/>
    <x v="0"/>
    <x v="4"/>
    <x v="5"/>
    <x v="6"/>
    <x v="0"/>
    <x v="0"/>
    <x v="7"/>
    <x v="0"/>
    <x v="7"/>
    <x v="1"/>
    <x v="6"/>
    <x v="6"/>
    <x v="0"/>
  </r>
  <r>
    <x v="10"/>
    <x v="0"/>
    <x v="0"/>
    <x v="0"/>
    <x v="0"/>
    <x v="5"/>
    <x v="6"/>
    <x v="7"/>
    <x v="3"/>
    <x v="0"/>
    <x v="8"/>
    <x v="0"/>
    <x v="8"/>
    <x v="3"/>
    <x v="7"/>
    <x v="7"/>
    <x v="1"/>
  </r>
  <r>
    <x v="11"/>
    <x v="0"/>
    <x v="0"/>
    <x v="0"/>
    <x v="0"/>
    <x v="3"/>
    <x v="7"/>
    <x v="4"/>
    <x v="2"/>
    <x v="0"/>
    <x v="5"/>
    <x v="0"/>
    <x v="3"/>
    <x v="1"/>
    <x v="8"/>
    <x v="8"/>
    <x v="0"/>
  </r>
  <r>
    <x v="12"/>
    <x v="0"/>
    <x v="0"/>
    <x v="0"/>
    <x v="0"/>
    <x v="6"/>
    <x v="8"/>
    <x v="6"/>
    <x v="4"/>
    <x v="0"/>
    <x v="9"/>
    <x v="0"/>
    <x v="9"/>
    <x v="4"/>
    <x v="9"/>
    <x v="9"/>
    <x v="2"/>
  </r>
  <r>
    <x v="13"/>
    <x v="0"/>
    <x v="0"/>
    <x v="0"/>
    <x v="0"/>
    <x v="7"/>
    <x v="7"/>
    <x v="8"/>
    <x v="5"/>
    <x v="0"/>
    <x v="10"/>
    <x v="0"/>
    <x v="10"/>
    <x v="1"/>
    <x v="10"/>
    <x v="10"/>
    <x v="0"/>
  </r>
  <r>
    <x v="14"/>
    <x v="0"/>
    <x v="0"/>
    <x v="0"/>
    <x v="0"/>
    <x v="4"/>
    <x v="5"/>
    <x v="6"/>
    <x v="5"/>
    <x v="0"/>
    <x v="11"/>
    <x v="0"/>
    <x v="11"/>
    <x v="1"/>
    <x v="10"/>
    <x v="10"/>
    <x v="0"/>
  </r>
  <r>
    <x v="15"/>
    <x v="0"/>
    <x v="0"/>
    <x v="0"/>
    <x v="0"/>
    <x v="8"/>
    <x v="9"/>
    <x v="9"/>
    <x v="5"/>
    <x v="0"/>
    <x v="5"/>
    <x v="0"/>
    <x v="12"/>
    <x v="5"/>
    <x v="11"/>
    <x v="11"/>
    <x v="0"/>
  </r>
  <r>
    <x v="16"/>
    <x v="0"/>
    <x v="0"/>
    <x v="0"/>
    <x v="0"/>
    <x v="4"/>
    <x v="5"/>
    <x v="6"/>
    <x v="5"/>
    <x v="0"/>
    <x v="12"/>
    <x v="0"/>
    <x v="13"/>
    <x v="5"/>
    <x v="11"/>
    <x v="11"/>
    <x v="0"/>
  </r>
  <r>
    <x v="17"/>
    <x v="0"/>
    <x v="0"/>
    <x v="0"/>
    <x v="0"/>
    <x v="8"/>
    <x v="9"/>
    <x v="8"/>
    <x v="5"/>
    <x v="0"/>
    <x v="10"/>
    <x v="0"/>
    <x v="10"/>
    <x v="5"/>
    <x v="11"/>
    <x v="11"/>
    <x v="0"/>
  </r>
  <r>
    <x v="18"/>
    <x v="0"/>
    <x v="0"/>
    <x v="0"/>
    <x v="0"/>
    <x v="4"/>
    <x v="5"/>
    <x v="6"/>
    <x v="5"/>
    <x v="0"/>
    <x v="11"/>
    <x v="0"/>
    <x v="11"/>
    <x v="5"/>
    <x v="11"/>
    <x v="12"/>
    <x v="0"/>
  </r>
  <r>
    <x v="19"/>
    <x v="0"/>
    <x v="0"/>
    <x v="0"/>
    <x v="0"/>
    <x v="8"/>
    <x v="9"/>
    <x v="9"/>
    <x v="5"/>
    <x v="0"/>
    <x v="5"/>
    <x v="0"/>
    <x v="12"/>
    <x v="5"/>
    <x v="12"/>
    <x v="13"/>
    <x v="0"/>
  </r>
  <r>
    <x v="20"/>
    <x v="0"/>
    <x v="0"/>
    <x v="0"/>
    <x v="0"/>
    <x v="4"/>
    <x v="5"/>
    <x v="6"/>
    <x v="5"/>
    <x v="0"/>
    <x v="12"/>
    <x v="0"/>
    <x v="13"/>
    <x v="5"/>
    <x v="12"/>
    <x v="13"/>
    <x v="0"/>
  </r>
  <r>
    <x v="21"/>
    <x v="0"/>
    <x v="0"/>
    <x v="0"/>
    <x v="0"/>
    <x v="8"/>
    <x v="9"/>
    <x v="8"/>
    <x v="5"/>
    <x v="0"/>
    <x v="5"/>
    <x v="0"/>
    <x v="14"/>
    <x v="5"/>
    <x v="13"/>
    <x v="14"/>
    <x v="0"/>
  </r>
  <r>
    <x v="22"/>
    <x v="0"/>
    <x v="0"/>
    <x v="0"/>
    <x v="0"/>
    <x v="4"/>
    <x v="5"/>
    <x v="5"/>
    <x v="5"/>
    <x v="0"/>
    <x v="13"/>
    <x v="0"/>
    <x v="15"/>
    <x v="5"/>
    <x v="13"/>
    <x v="14"/>
    <x v="0"/>
  </r>
  <r>
    <x v="23"/>
    <x v="0"/>
    <x v="0"/>
    <x v="0"/>
    <x v="0"/>
    <x v="9"/>
    <x v="10"/>
    <x v="10"/>
    <x v="5"/>
    <x v="0"/>
    <x v="5"/>
    <x v="0"/>
    <x v="16"/>
    <x v="6"/>
    <x v="14"/>
    <x v="15"/>
    <x v="2"/>
  </r>
  <r>
    <x v="24"/>
    <x v="0"/>
    <x v="0"/>
    <x v="0"/>
    <x v="0"/>
    <x v="10"/>
    <x v="11"/>
    <x v="11"/>
    <x v="1"/>
    <x v="0"/>
    <x v="14"/>
    <x v="0"/>
    <x v="17"/>
    <x v="7"/>
    <x v="15"/>
    <x v="16"/>
    <x v="0"/>
  </r>
  <r>
    <x v="25"/>
    <x v="0"/>
    <x v="0"/>
    <x v="0"/>
    <x v="0"/>
    <x v="11"/>
    <x v="12"/>
    <x v="10"/>
    <x v="1"/>
    <x v="0"/>
    <x v="15"/>
    <x v="0"/>
    <x v="18"/>
    <x v="7"/>
    <x v="15"/>
    <x v="16"/>
    <x v="0"/>
  </r>
  <r>
    <x v="26"/>
    <x v="0"/>
    <x v="0"/>
    <x v="0"/>
    <x v="0"/>
    <x v="12"/>
    <x v="11"/>
    <x v="12"/>
    <x v="1"/>
    <x v="0"/>
    <x v="16"/>
    <x v="0"/>
    <x v="19"/>
    <x v="7"/>
    <x v="15"/>
    <x v="16"/>
    <x v="0"/>
  </r>
  <r>
    <x v="27"/>
    <x v="0"/>
    <x v="0"/>
    <x v="0"/>
    <x v="0"/>
    <x v="13"/>
    <x v="13"/>
    <x v="13"/>
    <x v="5"/>
    <x v="0"/>
    <x v="16"/>
    <x v="0"/>
    <x v="13"/>
    <x v="6"/>
    <x v="16"/>
    <x v="17"/>
    <x v="2"/>
  </r>
  <r>
    <x v="28"/>
    <x v="0"/>
    <x v="0"/>
    <x v="0"/>
    <x v="0"/>
    <x v="14"/>
    <x v="5"/>
    <x v="3"/>
    <x v="5"/>
    <x v="0"/>
    <x v="17"/>
    <x v="0"/>
    <x v="20"/>
    <x v="6"/>
    <x v="16"/>
    <x v="17"/>
    <x v="2"/>
  </r>
  <r>
    <x v="29"/>
    <x v="0"/>
    <x v="0"/>
    <x v="0"/>
    <x v="0"/>
    <x v="15"/>
    <x v="14"/>
    <x v="4"/>
    <x v="5"/>
    <x v="0"/>
    <x v="18"/>
    <x v="0"/>
    <x v="21"/>
    <x v="6"/>
    <x v="17"/>
    <x v="18"/>
    <x v="2"/>
  </r>
  <r>
    <x v="30"/>
    <x v="0"/>
    <x v="0"/>
    <x v="0"/>
    <x v="0"/>
    <x v="14"/>
    <x v="5"/>
    <x v="6"/>
    <x v="5"/>
    <x v="0"/>
    <x v="19"/>
    <x v="0"/>
    <x v="22"/>
    <x v="6"/>
    <x v="17"/>
    <x v="18"/>
    <x v="2"/>
  </r>
  <r>
    <x v="31"/>
    <x v="0"/>
    <x v="0"/>
    <x v="0"/>
    <x v="0"/>
    <x v="13"/>
    <x v="13"/>
    <x v="8"/>
    <x v="5"/>
    <x v="0"/>
    <x v="20"/>
    <x v="0"/>
    <x v="23"/>
    <x v="6"/>
    <x v="18"/>
    <x v="19"/>
    <x v="2"/>
  </r>
  <r>
    <x v="32"/>
    <x v="0"/>
    <x v="0"/>
    <x v="0"/>
    <x v="0"/>
    <x v="14"/>
    <x v="5"/>
    <x v="14"/>
    <x v="5"/>
    <x v="0"/>
    <x v="21"/>
    <x v="0"/>
    <x v="24"/>
    <x v="6"/>
    <x v="18"/>
    <x v="19"/>
    <x v="2"/>
  </r>
  <r>
    <x v="33"/>
    <x v="0"/>
    <x v="0"/>
    <x v="0"/>
    <x v="0"/>
    <x v="10"/>
    <x v="11"/>
    <x v="11"/>
    <x v="1"/>
    <x v="0"/>
    <x v="14"/>
    <x v="0"/>
    <x v="17"/>
    <x v="7"/>
    <x v="19"/>
    <x v="20"/>
    <x v="0"/>
  </r>
  <r>
    <x v="34"/>
    <x v="0"/>
    <x v="0"/>
    <x v="0"/>
    <x v="0"/>
    <x v="11"/>
    <x v="12"/>
    <x v="10"/>
    <x v="1"/>
    <x v="0"/>
    <x v="15"/>
    <x v="0"/>
    <x v="18"/>
    <x v="7"/>
    <x v="19"/>
    <x v="20"/>
    <x v="0"/>
  </r>
  <r>
    <x v="35"/>
    <x v="0"/>
    <x v="0"/>
    <x v="0"/>
    <x v="0"/>
    <x v="12"/>
    <x v="11"/>
    <x v="12"/>
    <x v="1"/>
    <x v="0"/>
    <x v="16"/>
    <x v="0"/>
    <x v="19"/>
    <x v="7"/>
    <x v="19"/>
    <x v="20"/>
    <x v="0"/>
  </r>
  <r>
    <x v="36"/>
    <x v="0"/>
    <x v="0"/>
    <x v="0"/>
    <x v="0"/>
    <x v="1"/>
    <x v="15"/>
    <x v="5"/>
    <x v="6"/>
    <x v="0"/>
    <x v="22"/>
    <x v="0"/>
    <x v="25"/>
    <x v="6"/>
    <x v="20"/>
    <x v="21"/>
    <x v="2"/>
  </r>
  <r>
    <x v="37"/>
    <x v="0"/>
    <x v="0"/>
    <x v="0"/>
    <x v="0"/>
    <x v="16"/>
    <x v="16"/>
    <x v="9"/>
    <x v="7"/>
    <x v="0"/>
    <x v="23"/>
    <x v="0"/>
    <x v="3"/>
    <x v="8"/>
    <x v="21"/>
    <x v="22"/>
    <x v="1"/>
  </r>
  <r>
    <x v="38"/>
    <x v="0"/>
    <x v="0"/>
    <x v="0"/>
    <x v="0"/>
    <x v="16"/>
    <x v="17"/>
    <x v="9"/>
    <x v="7"/>
    <x v="0"/>
    <x v="24"/>
    <x v="0"/>
    <x v="26"/>
    <x v="8"/>
    <x v="21"/>
    <x v="22"/>
    <x v="1"/>
  </r>
  <r>
    <x v="39"/>
    <x v="0"/>
    <x v="0"/>
    <x v="0"/>
    <x v="0"/>
    <x v="17"/>
    <x v="18"/>
    <x v="15"/>
    <x v="8"/>
    <x v="0"/>
    <x v="25"/>
    <x v="0"/>
    <x v="27"/>
    <x v="9"/>
    <x v="22"/>
    <x v="23"/>
    <x v="1"/>
  </r>
  <r>
    <x v="40"/>
    <x v="0"/>
    <x v="0"/>
    <x v="0"/>
    <x v="0"/>
    <x v="18"/>
    <x v="19"/>
    <x v="16"/>
    <x v="5"/>
    <x v="0"/>
    <x v="26"/>
    <x v="0"/>
    <x v="28"/>
    <x v="10"/>
    <x v="23"/>
    <x v="24"/>
    <x v="1"/>
  </r>
  <r>
    <x v="41"/>
    <x v="0"/>
    <x v="0"/>
    <x v="0"/>
    <x v="0"/>
    <x v="18"/>
    <x v="19"/>
    <x v="10"/>
    <x v="5"/>
    <x v="0"/>
    <x v="26"/>
    <x v="0"/>
    <x v="29"/>
    <x v="11"/>
    <x v="24"/>
    <x v="7"/>
    <x v="1"/>
  </r>
  <r>
    <x v="42"/>
    <x v="0"/>
    <x v="0"/>
    <x v="0"/>
    <x v="0"/>
    <x v="19"/>
    <x v="5"/>
    <x v="17"/>
    <x v="9"/>
    <x v="0"/>
    <x v="27"/>
    <x v="0"/>
    <x v="30"/>
    <x v="12"/>
    <x v="25"/>
    <x v="25"/>
    <x v="1"/>
  </r>
  <r>
    <x v="43"/>
    <x v="0"/>
    <x v="0"/>
    <x v="0"/>
    <x v="0"/>
    <x v="1"/>
    <x v="15"/>
    <x v="6"/>
    <x v="6"/>
    <x v="0"/>
    <x v="28"/>
    <x v="0"/>
    <x v="31"/>
    <x v="6"/>
    <x v="26"/>
    <x v="26"/>
    <x v="2"/>
  </r>
  <r>
    <x v="44"/>
    <x v="0"/>
    <x v="0"/>
    <x v="0"/>
    <x v="0"/>
    <x v="20"/>
    <x v="20"/>
    <x v="18"/>
    <x v="7"/>
    <x v="0"/>
    <x v="29"/>
    <x v="0"/>
    <x v="32"/>
    <x v="13"/>
    <x v="27"/>
    <x v="7"/>
    <x v="3"/>
  </r>
  <r>
    <x v="45"/>
    <x v="0"/>
    <x v="0"/>
    <x v="0"/>
    <x v="0"/>
    <x v="21"/>
    <x v="21"/>
    <x v="19"/>
    <x v="1"/>
    <x v="0"/>
    <x v="30"/>
    <x v="0"/>
    <x v="33"/>
    <x v="14"/>
    <x v="28"/>
    <x v="27"/>
    <x v="1"/>
  </r>
  <r>
    <x v="46"/>
    <x v="0"/>
    <x v="0"/>
    <x v="0"/>
    <x v="0"/>
    <x v="1"/>
    <x v="15"/>
    <x v="6"/>
    <x v="6"/>
    <x v="0"/>
    <x v="31"/>
    <x v="0"/>
    <x v="34"/>
    <x v="6"/>
    <x v="29"/>
    <x v="26"/>
    <x v="2"/>
  </r>
  <r>
    <x v="47"/>
    <x v="0"/>
    <x v="0"/>
    <x v="0"/>
    <x v="0"/>
    <x v="22"/>
    <x v="22"/>
    <x v="6"/>
    <x v="10"/>
    <x v="0"/>
    <x v="32"/>
    <x v="0"/>
    <x v="35"/>
    <x v="15"/>
    <x v="30"/>
    <x v="7"/>
    <x v="0"/>
  </r>
  <r>
    <x v="48"/>
    <x v="0"/>
    <x v="0"/>
    <x v="0"/>
    <x v="0"/>
    <x v="23"/>
    <x v="5"/>
    <x v="6"/>
    <x v="11"/>
    <x v="0"/>
    <x v="33"/>
    <x v="0"/>
    <x v="36"/>
    <x v="15"/>
    <x v="30"/>
    <x v="7"/>
    <x v="0"/>
  </r>
  <r>
    <x v="49"/>
    <x v="0"/>
    <x v="0"/>
    <x v="0"/>
    <x v="0"/>
    <x v="24"/>
    <x v="23"/>
    <x v="3"/>
    <x v="9"/>
    <x v="0"/>
    <x v="34"/>
    <x v="0"/>
    <x v="37"/>
    <x v="16"/>
    <x v="31"/>
    <x v="28"/>
    <x v="1"/>
  </r>
  <r>
    <x v="50"/>
    <x v="0"/>
    <x v="0"/>
    <x v="0"/>
    <x v="1"/>
    <x v="25"/>
    <x v="5"/>
    <x v="20"/>
    <x v="12"/>
    <x v="0"/>
    <x v="35"/>
    <x v="0"/>
    <x v="38"/>
    <x v="17"/>
    <x v="32"/>
    <x v="7"/>
    <x v="1"/>
  </r>
  <r>
    <x v="51"/>
    <x v="0"/>
    <x v="0"/>
    <x v="0"/>
    <x v="0"/>
    <x v="26"/>
    <x v="24"/>
    <x v="3"/>
    <x v="9"/>
    <x v="0"/>
    <x v="36"/>
    <x v="0"/>
    <x v="39"/>
    <x v="16"/>
    <x v="33"/>
    <x v="29"/>
    <x v="1"/>
  </r>
  <r>
    <x v="52"/>
    <x v="0"/>
    <x v="0"/>
    <x v="0"/>
    <x v="0"/>
    <x v="27"/>
    <x v="25"/>
    <x v="3"/>
    <x v="9"/>
    <x v="0"/>
    <x v="37"/>
    <x v="0"/>
    <x v="12"/>
    <x v="16"/>
    <x v="33"/>
    <x v="29"/>
    <x v="1"/>
  </r>
  <r>
    <x v="53"/>
    <x v="0"/>
    <x v="0"/>
    <x v="0"/>
    <x v="0"/>
    <x v="28"/>
    <x v="23"/>
    <x v="0"/>
    <x v="9"/>
    <x v="0"/>
    <x v="34"/>
    <x v="0"/>
    <x v="40"/>
    <x v="16"/>
    <x v="33"/>
    <x v="29"/>
    <x v="1"/>
  </r>
  <r>
    <x v="54"/>
    <x v="0"/>
    <x v="0"/>
    <x v="0"/>
    <x v="0"/>
    <x v="29"/>
    <x v="26"/>
    <x v="21"/>
    <x v="9"/>
    <x v="0"/>
    <x v="38"/>
    <x v="0"/>
    <x v="41"/>
    <x v="18"/>
    <x v="34"/>
    <x v="30"/>
    <x v="1"/>
  </r>
  <r>
    <x v="55"/>
    <x v="0"/>
    <x v="0"/>
    <x v="0"/>
    <x v="0"/>
    <x v="30"/>
    <x v="27"/>
    <x v="22"/>
    <x v="3"/>
    <x v="0"/>
    <x v="37"/>
    <x v="0"/>
    <x v="42"/>
    <x v="19"/>
    <x v="35"/>
    <x v="31"/>
    <x v="1"/>
  </r>
  <r>
    <x v="56"/>
    <x v="0"/>
    <x v="0"/>
    <x v="0"/>
    <x v="0"/>
    <x v="31"/>
    <x v="28"/>
    <x v="6"/>
    <x v="4"/>
    <x v="0"/>
    <x v="39"/>
    <x v="0"/>
    <x v="43"/>
    <x v="20"/>
    <x v="36"/>
    <x v="32"/>
    <x v="4"/>
  </r>
  <r>
    <x v="57"/>
    <x v="0"/>
    <x v="0"/>
    <x v="0"/>
    <x v="1"/>
    <x v="32"/>
    <x v="29"/>
    <x v="6"/>
    <x v="13"/>
    <x v="0"/>
    <x v="40"/>
    <x v="0"/>
    <x v="44"/>
    <x v="21"/>
    <x v="37"/>
    <x v="33"/>
    <x v="0"/>
  </r>
  <r>
    <x v="58"/>
    <x v="0"/>
    <x v="0"/>
    <x v="0"/>
    <x v="1"/>
    <x v="33"/>
    <x v="30"/>
    <x v="6"/>
    <x v="13"/>
    <x v="0"/>
    <x v="41"/>
    <x v="0"/>
    <x v="45"/>
    <x v="21"/>
    <x v="37"/>
    <x v="33"/>
    <x v="0"/>
  </r>
  <r>
    <x v="59"/>
    <x v="0"/>
    <x v="0"/>
    <x v="0"/>
    <x v="1"/>
    <x v="34"/>
    <x v="5"/>
    <x v="6"/>
    <x v="14"/>
    <x v="0"/>
    <x v="42"/>
    <x v="0"/>
    <x v="46"/>
    <x v="22"/>
    <x v="38"/>
    <x v="7"/>
    <x v="0"/>
  </r>
  <r>
    <x v="60"/>
    <x v="0"/>
    <x v="0"/>
    <x v="0"/>
    <x v="1"/>
    <x v="35"/>
    <x v="31"/>
    <x v="9"/>
    <x v="1"/>
    <x v="0"/>
    <x v="43"/>
    <x v="0"/>
    <x v="9"/>
    <x v="23"/>
    <x v="39"/>
    <x v="34"/>
    <x v="1"/>
  </r>
  <r>
    <x v="61"/>
    <x v="0"/>
    <x v="0"/>
    <x v="0"/>
    <x v="1"/>
    <x v="36"/>
    <x v="32"/>
    <x v="23"/>
    <x v="4"/>
    <x v="0"/>
    <x v="44"/>
    <x v="0"/>
    <x v="5"/>
    <x v="24"/>
    <x v="40"/>
    <x v="35"/>
    <x v="1"/>
  </r>
  <r>
    <x v="62"/>
    <x v="0"/>
    <x v="0"/>
    <x v="0"/>
    <x v="1"/>
    <x v="30"/>
    <x v="33"/>
    <x v="24"/>
    <x v="3"/>
    <x v="0"/>
    <x v="45"/>
    <x v="0"/>
    <x v="42"/>
    <x v="19"/>
    <x v="41"/>
    <x v="36"/>
    <x v="1"/>
  </r>
  <r>
    <x v="63"/>
    <x v="0"/>
    <x v="0"/>
    <x v="0"/>
    <x v="1"/>
    <x v="1"/>
    <x v="15"/>
    <x v="6"/>
    <x v="6"/>
    <x v="0"/>
    <x v="46"/>
    <x v="0"/>
    <x v="20"/>
    <x v="6"/>
    <x v="42"/>
    <x v="37"/>
    <x v="2"/>
  </r>
  <r>
    <x v="64"/>
    <x v="0"/>
    <x v="0"/>
    <x v="0"/>
    <x v="1"/>
    <x v="37"/>
    <x v="34"/>
    <x v="5"/>
    <x v="15"/>
    <x v="0"/>
    <x v="47"/>
    <x v="0"/>
    <x v="47"/>
    <x v="25"/>
    <x v="43"/>
    <x v="7"/>
    <x v="1"/>
  </r>
  <r>
    <x v="65"/>
    <x v="0"/>
    <x v="0"/>
    <x v="0"/>
    <x v="1"/>
    <x v="38"/>
    <x v="35"/>
    <x v="25"/>
    <x v="9"/>
    <x v="0"/>
    <x v="48"/>
    <x v="0"/>
    <x v="48"/>
    <x v="16"/>
    <x v="44"/>
    <x v="38"/>
    <x v="1"/>
  </r>
  <r>
    <x v="66"/>
    <x v="0"/>
    <x v="0"/>
    <x v="0"/>
    <x v="1"/>
    <x v="39"/>
    <x v="36"/>
    <x v="8"/>
    <x v="9"/>
    <x v="0"/>
    <x v="49"/>
    <x v="0"/>
    <x v="12"/>
    <x v="16"/>
    <x v="44"/>
    <x v="38"/>
    <x v="1"/>
  </r>
  <r>
    <x v="67"/>
    <x v="0"/>
    <x v="0"/>
    <x v="0"/>
    <x v="1"/>
    <x v="40"/>
    <x v="37"/>
    <x v="16"/>
    <x v="9"/>
    <x v="0"/>
    <x v="50"/>
    <x v="0"/>
    <x v="14"/>
    <x v="16"/>
    <x v="44"/>
    <x v="38"/>
    <x v="1"/>
  </r>
  <r>
    <x v="68"/>
    <x v="0"/>
    <x v="0"/>
    <x v="0"/>
    <x v="1"/>
    <x v="41"/>
    <x v="38"/>
    <x v="26"/>
    <x v="12"/>
    <x v="0"/>
    <x v="44"/>
    <x v="0"/>
    <x v="49"/>
    <x v="26"/>
    <x v="45"/>
    <x v="39"/>
    <x v="1"/>
  </r>
  <r>
    <x v="69"/>
    <x v="0"/>
    <x v="0"/>
    <x v="0"/>
    <x v="1"/>
    <x v="42"/>
    <x v="39"/>
    <x v="8"/>
    <x v="12"/>
    <x v="0"/>
    <x v="51"/>
    <x v="0"/>
    <x v="50"/>
    <x v="27"/>
    <x v="45"/>
    <x v="40"/>
    <x v="0"/>
  </r>
  <r>
    <x v="70"/>
    <x v="0"/>
    <x v="0"/>
    <x v="0"/>
    <x v="1"/>
    <x v="35"/>
    <x v="31"/>
    <x v="9"/>
    <x v="1"/>
    <x v="0"/>
    <x v="43"/>
    <x v="0"/>
    <x v="9"/>
    <x v="23"/>
    <x v="46"/>
    <x v="41"/>
    <x v="1"/>
  </r>
  <r>
    <x v="71"/>
    <x v="0"/>
    <x v="0"/>
    <x v="0"/>
    <x v="1"/>
    <x v="43"/>
    <x v="40"/>
    <x v="0"/>
    <x v="12"/>
    <x v="0"/>
    <x v="52"/>
    <x v="0"/>
    <x v="39"/>
    <x v="28"/>
    <x v="47"/>
    <x v="42"/>
    <x v="1"/>
  </r>
  <r>
    <x v="72"/>
    <x v="0"/>
    <x v="0"/>
    <x v="0"/>
    <x v="1"/>
    <x v="44"/>
    <x v="5"/>
    <x v="10"/>
    <x v="7"/>
    <x v="0"/>
    <x v="53"/>
    <x v="0"/>
    <x v="51"/>
    <x v="6"/>
    <x v="47"/>
    <x v="43"/>
    <x v="2"/>
  </r>
  <r>
    <x v="73"/>
    <x v="0"/>
    <x v="0"/>
    <x v="0"/>
    <x v="1"/>
    <x v="45"/>
    <x v="41"/>
    <x v="17"/>
    <x v="7"/>
    <x v="0"/>
    <x v="27"/>
    <x v="0"/>
    <x v="52"/>
    <x v="16"/>
    <x v="48"/>
    <x v="7"/>
    <x v="1"/>
  </r>
  <r>
    <x v="74"/>
    <x v="0"/>
    <x v="0"/>
    <x v="0"/>
    <x v="1"/>
    <x v="45"/>
    <x v="41"/>
    <x v="17"/>
    <x v="7"/>
    <x v="0"/>
    <x v="27"/>
    <x v="0"/>
    <x v="53"/>
    <x v="16"/>
    <x v="49"/>
    <x v="7"/>
    <x v="1"/>
  </r>
  <r>
    <x v="75"/>
    <x v="0"/>
    <x v="0"/>
    <x v="0"/>
    <x v="1"/>
    <x v="46"/>
    <x v="42"/>
    <x v="6"/>
    <x v="16"/>
    <x v="0"/>
    <x v="54"/>
    <x v="0"/>
    <x v="54"/>
    <x v="22"/>
    <x v="50"/>
    <x v="7"/>
    <x v="0"/>
  </r>
  <r>
    <x v="76"/>
    <x v="0"/>
    <x v="0"/>
    <x v="0"/>
    <x v="1"/>
    <x v="44"/>
    <x v="5"/>
    <x v="10"/>
    <x v="7"/>
    <x v="0"/>
    <x v="45"/>
    <x v="0"/>
    <x v="55"/>
    <x v="6"/>
    <x v="51"/>
    <x v="44"/>
    <x v="2"/>
  </r>
  <r>
    <x v="77"/>
    <x v="0"/>
    <x v="0"/>
    <x v="0"/>
    <x v="1"/>
    <x v="47"/>
    <x v="43"/>
    <x v="2"/>
    <x v="12"/>
    <x v="0"/>
    <x v="16"/>
    <x v="0"/>
    <x v="56"/>
    <x v="29"/>
    <x v="52"/>
    <x v="45"/>
    <x v="0"/>
  </r>
  <r>
    <x v="78"/>
    <x v="0"/>
    <x v="0"/>
    <x v="0"/>
    <x v="1"/>
    <x v="44"/>
    <x v="5"/>
    <x v="9"/>
    <x v="7"/>
    <x v="0"/>
    <x v="55"/>
    <x v="0"/>
    <x v="57"/>
    <x v="6"/>
    <x v="53"/>
    <x v="46"/>
    <x v="2"/>
  </r>
  <r>
    <x v="79"/>
    <x v="0"/>
    <x v="0"/>
    <x v="0"/>
    <x v="1"/>
    <x v="30"/>
    <x v="44"/>
    <x v="22"/>
    <x v="12"/>
    <x v="0"/>
    <x v="37"/>
    <x v="0"/>
    <x v="42"/>
    <x v="19"/>
    <x v="54"/>
    <x v="47"/>
    <x v="1"/>
  </r>
  <r>
    <x v="80"/>
    <x v="0"/>
    <x v="0"/>
    <x v="0"/>
    <x v="1"/>
    <x v="44"/>
    <x v="5"/>
    <x v="8"/>
    <x v="7"/>
    <x v="0"/>
    <x v="55"/>
    <x v="0"/>
    <x v="15"/>
    <x v="6"/>
    <x v="55"/>
    <x v="48"/>
    <x v="2"/>
  </r>
  <r>
    <x v="81"/>
    <x v="0"/>
    <x v="0"/>
    <x v="0"/>
    <x v="0"/>
    <x v="48"/>
    <x v="45"/>
    <x v="5"/>
    <x v="4"/>
    <x v="0"/>
    <x v="56"/>
    <x v="0"/>
    <x v="58"/>
    <x v="30"/>
    <x v="56"/>
    <x v="49"/>
    <x v="1"/>
  </r>
  <r>
    <x v="82"/>
    <x v="0"/>
    <x v="0"/>
    <x v="0"/>
    <x v="0"/>
    <x v="48"/>
    <x v="46"/>
    <x v="5"/>
    <x v="4"/>
    <x v="0"/>
    <x v="56"/>
    <x v="0"/>
    <x v="58"/>
    <x v="30"/>
    <x v="56"/>
    <x v="49"/>
    <x v="1"/>
  </r>
  <r>
    <x v="83"/>
    <x v="0"/>
    <x v="0"/>
    <x v="0"/>
    <x v="1"/>
    <x v="44"/>
    <x v="5"/>
    <x v="27"/>
    <x v="7"/>
    <x v="0"/>
    <x v="57"/>
    <x v="0"/>
    <x v="59"/>
    <x v="6"/>
    <x v="57"/>
    <x v="50"/>
    <x v="2"/>
  </r>
  <r>
    <x v="84"/>
    <x v="0"/>
    <x v="0"/>
    <x v="0"/>
    <x v="1"/>
    <x v="49"/>
    <x v="47"/>
    <x v="10"/>
    <x v="1"/>
    <x v="0"/>
    <x v="58"/>
    <x v="0"/>
    <x v="60"/>
    <x v="31"/>
    <x v="58"/>
    <x v="51"/>
    <x v="1"/>
  </r>
  <r>
    <x v="85"/>
    <x v="0"/>
    <x v="0"/>
    <x v="0"/>
    <x v="1"/>
    <x v="50"/>
    <x v="48"/>
    <x v="17"/>
    <x v="9"/>
    <x v="0"/>
    <x v="27"/>
    <x v="0"/>
    <x v="61"/>
    <x v="16"/>
    <x v="59"/>
    <x v="7"/>
    <x v="1"/>
  </r>
  <r>
    <x v="86"/>
    <x v="0"/>
    <x v="0"/>
    <x v="0"/>
    <x v="1"/>
    <x v="51"/>
    <x v="49"/>
    <x v="5"/>
    <x v="4"/>
    <x v="0"/>
    <x v="59"/>
    <x v="0"/>
    <x v="62"/>
    <x v="32"/>
    <x v="60"/>
    <x v="52"/>
    <x v="1"/>
  </r>
  <r>
    <x v="87"/>
    <x v="0"/>
    <x v="0"/>
    <x v="0"/>
    <x v="1"/>
    <x v="52"/>
    <x v="50"/>
    <x v="5"/>
    <x v="4"/>
    <x v="0"/>
    <x v="59"/>
    <x v="0"/>
    <x v="62"/>
    <x v="33"/>
    <x v="61"/>
    <x v="7"/>
    <x v="5"/>
  </r>
  <r>
    <x v="88"/>
    <x v="0"/>
    <x v="0"/>
    <x v="0"/>
    <x v="1"/>
    <x v="53"/>
    <x v="51"/>
    <x v="5"/>
    <x v="17"/>
    <x v="0"/>
    <x v="60"/>
    <x v="0"/>
    <x v="63"/>
    <x v="22"/>
    <x v="62"/>
    <x v="53"/>
    <x v="0"/>
  </r>
  <r>
    <x v="89"/>
    <x v="0"/>
    <x v="0"/>
    <x v="0"/>
    <x v="1"/>
    <x v="54"/>
    <x v="52"/>
    <x v="3"/>
    <x v="18"/>
    <x v="0"/>
    <x v="4"/>
    <x v="0"/>
    <x v="5"/>
    <x v="34"/>
    <x v="63"/>
    <x v="7"/>
    <x v="5"/>
  </r>
  <r>
    <x v="90"/>
    <x v="0"/>
    <x v="0"/>
    <x v="0"/>
    <x v="0"/>
    <x v="48"/>
    <x v="46"/>
    <x v="6"/>
    <x v="4"/>
    <x v="0"/>
    <x v="56"/>
    <x v="0"/>
    <x v="23"/>
    <x v="35"/>
    <x v="64"/>
    <x v="7"/>
    <x v="5"/>
  </r>
  <r>
    <x v="91"/>
    <x v="0"/>
    <x v="0"/>
    <x v="0"/>
    <x v="1"/>
    <x v="55"/>
    <x v="53"/>
    <x v="9"/>
    <x v="19"/>
    <x v="0"/>
    <x v="2"/>
    <x v="0"/>
    <x v="16"/>
    <x v="36"/>
    <x v="65"/>
    <x v="7"/>
    <x v="5"/>
  </r>
  <r>
    <x v="92"/>
    <x v="0"/>
    <x v="0"/>
    <x v="0"/>
    <x v="2"/>
    <x v="56"/>
    <x v="54"/>
    <x v="9"/>
    <x v="19"/>
    <x v="0"/>
    <x v="61"/>
    <x v="0"/>
    <x v="64"/>
    <x v="33"/>
    <x v="61"/>
    <x v="7"/>
    <x v="5"/>
  </r>
  <r>
    <x v="93"/>
    <x v="0"/>
    <x v="0"/>
    <x v="0"/>
    <x v="2"/>
    <x v="56"/>
    <x v="55"/>
    <x v="9"/>
    <x v="19"/>
    <x v="0"/>
    <x v="62"/>
    <x v="0"/>
    <x v="65"/>
    <x v="33"/>
    <x v="61"/>
    <x v="7"/>
    <x v="5"/>
  </r>
  <r>
    <x v="94"/>
    <x v="0"/>
    <x v="0"/>
    <x v="0"/>
    <x v="1"/>
    <x v="57"/>
    <x v="56"/>
    <x v="6"/>
    <x v="20"/>
    <x v="0"/>
    <x v="63"/>
    <x v="0"/>
    <x v="66"/>
    <x v="37"/>
    <x v="66"/>
    <x v="54"/>
    <x v="5"/>
  </r>
  <r>
    <x v="95"/>
    <x v="0"/>
    <x v="0"/>
    <x v="0"/>
    <x v="2"/>
    <x v="57"/>
    <x v="57"/>
    <x v="6"/>
    <x v="20"/>
    <x v="0"/>
    <x v="63"/>
    <x v="0"/>
    <x v="66"/>
    <x v="33"/>
    <x v="61"/>
    <x v="7"/>
    <x v="5"/>
  </r>
  <r>
    <x v="96"/>
    <x v="0"/>
    <x v="0"/>
    <x v="0"/>
    <x v="0"/>
    <x v="58"/>
    <x v="46"/>
    <x v="13"/>
    <x v="4"/>
    <x v="0"/>
    <x v="64"/>
    <x v="0"/>
    <x v="67"/>
    <x v="35"/>
    <x v="67"/>
    <x v="7"/>
    <x v="5"/>
  </r>
  <r>
    <x v="97"/>
    <x v="0"/>
    <x v="0"/>
    <x v="0"/>
    <x v="2"/>
    <x v="59"/>
    <x v="45"/>
    <x v="5"/>
    <x v="4"/>
    <x v="0"/>
    <x v="64"/>
    <x v="0"/>
    <x v="34"/>
    <x v="33"/>
    <x v="61"/>
    <x v="7"/>
    <x v="5"/>
  </r>
  <r>
    <x v="98"/>
    <x v="0"/>
    <x v="0"/>
    <x v="0"/>
    <x v="2"/>
    <x v="60"/>
    <x v="58"/>
    <x v="6"/>
    <x v="17"/>
    <x v="0"/>
    <x v="65"/>
    <x v="0"/>
    <x v="68"/>
    <x v="33"/>
    <x v="67"/>
    <x v="7"/>
    <x v="5"/>
  </r>
  <r>
    <x v="99"/>
    <x v="0"/>
    <x v="0"/>
    <x v="0"/>
    <x v="1"/>
    <x v="61"/>
    <x v="59"/>
    <x v="6"/>
    <x v="21"/>
    <x v="0"/>
    <x v="66"/>
    <x v="0"/>
    <x v="69"/>
    <x v="6"/>
    <x v="68"/>
    <x v="55"/>
    <x v="2"/>
  </r>
  <r>
    <x v="100"/>
    <x v="0"/>
    <x v="0"/>
    <x v="0"/>
    <x v="1"/>
    <x v="62"/>
    <x v="60"/>
    <x v="24"/>
    <x v="12"/>
    <x v="0"/>
    <x v="45"/>
    <x v="0"/>
    <x v="42"/>
    <x v="19"/>
    <x v="69"/>
    <x v="56"/>
    <x v="1"/>
  </r>
  <r>
    <x v="101"/>
    <x v="0"/>
    <x v="0"/>
    <x v="0"/>
    <x v="1"/>
    <x v="62"/>
    <x v="61"/>
    <x v="24"/>
    <x v="12"/>
    <x v="0"/>
    <x v="5"/>
    <x v="0"/>
    <x v="70"/>
    <x v="19"/>
    <x v="70"/>
    <x v="57"/>
    <x v="1"/>
  </r>
  <r>
    <x v="102"/>
    <x v="0"/>
    <x v="0"/>
    <x v="0"/>
    <x v="1"/>
    <x v="63"/>
    <x v="62"/>
    <x v="9"/>
    <x v="9"/>
    <x v="0"/>
    <x v="67"/>
    <x v="0"/>
    <x v="71"/>
    <x v="38"/>
    <x v="71"/>
    <x v="58"/>
    <x v="5"/>
  </r>
  <r>
    <x v="103"/>
    <x v="0"/>
    <x v="0"/>
    <x v="0"/>
    <x v="1"/>
    <x v="63"/>
    <x v="62"/>
    <x v="9"/>
    <x v="9"/>
    <x v="0"/>
    <x v="67"/>
    <x v="0"/>
    <x v="71"/>
    <x v="38"/>
    <x v="72"/>
    <x v="59"/>
    <x v="5"/>
  </r>
  <r>
    <x v="104"/>
    <x v="0"/>
    <x v="0"/>
    <x v="0"/>
    <x v="1"/>
    <x v="63"/>
    <x v="62"/>
    <x v="28"/>
    <x v="9"/>
    <x v="0"/>
    <x v="45"/>
    <x v="0"/>
    <x v="72"/>
    <x v="39"/>
    <x v="73"/>
    <x v="60"/>
    <x v="5"/>
  </r>
  <r>
    <x v="105"/>
    <x v="0"/>
    <x v="0"/>
    <x v="0"/>
    <x v="1"/>
    <x v="5"/>
    <x v="63"/>
    <x v="29"/>
    <x v="12"/>
    <x v="0"/>
    <x v="35"/>
    <x v="0"/>
    <x v="73"/>
    <x v="17"/>
    <x v="74"/>
    <x v="61"/>
    <x v="1"/>
  </r>
  <r>
    <x v="106"/>
    <x v="0"/>
    <x v="0"/>
    <x v="0"/>
    <x v="1"/>
    <x v="64"/>
    <x v="64"/>
    <x v="4"/>
    <x v="1"/>
    <x v="0"/>
    <x v="10"/>
    <x v="0"/>
    <x v="5"/>
    <x v="40"/>
    <x v="75"/>
    <x v="62"/>
    <x v="5"/>
  </r>
  <r>
    <x v="107"/>
    <x v="0"/>
    <x v="0"/>
    <x v="0"/>
    <x v="1"/>
    <x v="62"/>
    <x v="33"/>
    <x v="30"/>
    <x v="12"/>
    <x v="0"/>
    <x v="45"/>
    <x v="0"/>
    <x v="74"/>
    <x v="19"/>
    <x v="76"/>
    <x v="63"/>
    <x v="1"/>
  </r>
  <r>
    <x v="108"/>
    <x v="0"/>
    <x v="0"/>
    <x v="0"/>
    <x v="1"/>
    <x v="65"/>
    <x v="65"/>
    <x v="13"/>
    <x v="22"/>
    <x v="0"/>
    <x v="54"/>
    <x v="0"/>
    <x v="15"/>
    <x v="22"/>
    <x v="76"/>
    <x v="7"/>
    <x v="0"/>
  </r>
  <r>
    <x v="109"/>
    <x v="0"/>
    <x v="0"/>
    <x v="0"/>
    <x v="1"/>
    <x v="1"/>
    <x v="66"/>
    <x v="5"/>
    <x v="21"/>
    <x v="0"/>
    <x v="68"/>
    <x v="0"/>
    <x v="75"/>
    <x v="6"/>
    <x v="77"/>
    <x v="64"/>
    <x v="2"/>
  </r>
  <r>
    <x v="110"/>
    <x v="0"/>
    <x v="0"/>
    <x v="0"/>
    <x v="1"/>
    <x v="66"/>
    <x v="5"/>
    <x v="31"/>
    <x v="4"/>
    <x v="0"/>
    <x v="69"/>
    <x v="0"/>
    <x v="76"/>
    <x v="41"/>
    <x v="78"/>
    <x v="65"/>
    <x v="5"/>
  </r>
  <r>
    <x v="111"/>
    <x v="0"/>
    <x v="0"/>
    <x v="0"/>
    <x v="1"/>
    <x v="67"/>
    <x v="67"/>
    <x v="6"/>
    <x v="4"/>
    <x v="0"/>
    <x v="17"/>
    <x v="0"/>
    <x v="77"/>
    <x v="42"/>
    <x v="79"/>
    <x v="66"/>
    <x v="5"/>
  </r>
  <r>
    <x v="112"/>
    <x v="0"/>
    <x v="0"/>
    <x v="0"/>
    <x v="2"/>
    <x v="68"/>
    <x v="68"/>
    <x v="32"/>
    <x v="7"/>
    <x v="0"/>
    <x v="52"/>
    <x v="0"/>
    <x v="78"/>
    <x v="33"/>
    <x v="61"/>
    <x v="7"/>
    <x v="5"/>
  </r>
  <r>
    <x v="113"/>
    <x v="0"/>
    <x v="0"/>
    <x v="0"/>
    <x v="2"/>
    <x v="69"/>
    <x v="69"/>
    <x v="32"/>
    <x v="7"/>
    <x v="0"/>
    <x v="70"/>
    <x v="0"/>
    <x v="79"/>
    <x v="33"/>
    <x v="61"/>
    <x v="7"/>
    <x v="5"/>
  </r>
  <r>
    <x v="114"/>
    <x v="0"/>
    <x v="0"/>
    <x v="0"/>
    <x v="2"/>
    <x v="67"/>
    <x v="70"/>
    <x v="6"/>
    <x v="7"/>
    <x v="0"/>
    <x v="17"/>
    <x v="0"/>
    <x v="77"/>
    <x v="33"/>
    <x v="61"/>
    <x v="7"/>
    <x v="5"/>
  </r>
  <r>
    <x v="115"/>
    <x v="0"/>
    <x v="0"/>
    <x v="0"/>
    <x v="1"/>
    <x v="63"/>
    <x v="62"/>
    <x v="33"/>
    <x v="9"/>
    <x v="0"/>
    <x v="45"/>
    <x v="0"/>
    <x v="80"/>
    <x v="39"/>
    <x v="80"/>
    <x v="67"/>
    <x v="5"/>
  </r>
  <r>
    <x v="116"/>
    <x v="0"/>
    <x v="0"/>
    <x v="0"/>
    <x v="1"/>
    <x v="70"/>
    <x v="71"/>
    <x v="7"/>
    <x v="4"/>
    <x v="0"/>
    <x v="71"/>
    <x v="0"/>
    <x v="81"/>
    <x v="43"/>
    <x v="81"/>
    <x v="68"/>
    <x v="5"/>
  </r>
  <r>
    <x v="117"/>
    <x v="0"/>
    <x v="0"/>
    <x v="0"/>
    <x v="2"/>
    <x v="68"/>
    <x v="72"/>
    <x v="34"/>
    <x v="4"/>
    <x v="0"/>
    <x v="72"/>
    <x v="0"/>
    <x v="82"/>
    <x v="33"/>
    <x v="61"/>
    <x v="7"/>
    <x v="5"/>
  </r>
  <r>
    <x v="118"/>
    <x v="0"/>
    <x v="0"/>
    <x v="0"/>
    <x v="1"/>
    <x v="71"/>
    <x v="73"/>
    <x v="35"/>
    <x v="12"/>
    <x v="0"/>
    <x v="73"/>
    <x v="0"/>
    <x v="83"/>
    <x v="44"/>
    <x v="82"/>
    <x v="69"/>
    <x v="5"/>
  </r>
  <r>
    <x v="119"/>
    <x v="0"/>
    <x v="0"/>
    <x v="0"/>
    <x v="1"/>
    <x v="72"/>
    <x v="74"/>
    <x v="5"/>
    <x v="9"/>
    <x v="0"/>
    <x v="16"/>
    <x v="0"/>
    <x v="66"/>
    <x v="45"/>
    <x v="73"/>
    <x v="70"/>
    <x v="1"/>
  </r>
  <r>
    <x v="120"/>
    <x v="0"/>
    <x v="0"/>
    <x v="0"/>
    <x v="1"/>
    <x v="73"/>
    <x v="5"/>
    <x v="3"/>
    <x v="16"/>
    <x v="0"/>
    <x v="74"/>
    <x v="0"/>
    <x v="84"/>
    <x v="46"/>
    <x v="83"/>
    <x v="71"/>
    <x v="5"/>
  </r>
  <r>
    <x v="121"/>
    <x v="0"/>
    <x v="0"/>
    <x v="0"/>
    <x v="1"/>
    <x v="74"/>
    <x v="75"/>
    <x v="6"/>
    <x v="23"/>
    <x v="0"/>
    <x v="52"/>
    <x v="0"/>
    <x v="3"/>
    <x v="43"/>
    <x v="84"/>
    <x v="72"/>
    <x v="5"/>
  </r>
  <r>
    <x v="122"/>
    <x v="0"/>
    <x v="0"/>
    <x v="0"/>
    <x v="1"/>
    <x v="75"/>
    <x v="76"/>
    <x v="33"/>
    <x v="12"/>
    <x v="0"/>
    <x v="75"/>
    <x v="0"/>
    <x v="85"/>
    <x v="47"/>
    <x v="85"/>
    <x v="73"/>
    <x v="5"/>
  </r>
  <r>
    <x v="123"/>
    <x v="0"/>
    <x v="0"/>
    <x v="0"/>
    <x v="1"/>
    <x v="73"/>
    <x v="5"/>
    <x v="0"/>
    <x v="16"/>
    <x v="0"/>
    <x v="74"/>
    <x v="0"/>
    <x v="86"/>
    <x v="46"/>
    <x v="86"/>
    <x v="74"/>
    <x v="5"/>
  </r>
  <r>
    <x v="124"/>
    <x v="0"/>
    <x v="0"/>
    <x v="0"/>
    <x v="1"/>
    <x v="76"/>
    <x v="77"/>
    <x v="20"/>
    <x v="7"/>
    <x v="0"/>
    <x v="76"/>
    <x v="0"/>
    <x v="87"/>
    <x v="48"/>
    <x v="86"/>
    <x v="75"/>
    <x v="5"/>
  </r>
  <r>
    <x v="125"/>
    <x v="0"/>
    <x v="0"/>
    <x v="0"/>
    <x v="1"/>
    <x v="77"/>
    <x v="78"/>
    <x v="6"/>
    <x v="4"/>
    <x v="0"/>
    <x v="72"/>
    <x v="0"/>
    <x v="32"/>
    <x v="43"/>
    <x v="87"/>
    <x v="76"/>
    <x v="5"/>
  </r>
  <r>
    <x v="126"/>
    <x v="0"/>
    <x v="0"/>
    <x v="0"/>
    <x v="1"/>
    <x v="78"/>
    <x v="79"/>
    <x v="24"/>
    <x v="12"/>
    <x v="0"/>
    <x v="37"/>
    <x v="0"/>
    <x v="88"/>
    <x v="19"/>
    <x v="87"/>
    <x v="77"/>
    <x v="1"/>
  </r>
  <r>
    <x v="127"/>
    <x v="0"/>
    <x v="0"/>
    <x v="0"/>
    <x v="1"/>
    <x v="79"/>
    <x v="80"/>
    <x v="3"/>
    <x v="2"/>
    <x v="0"/>
    <x v="77"/>
    <x v="0"/>
    <x v="89"/>
    <x v="49"/>
    <x v="88"/>
    <x v="78"/>
    <x v="5"/>
  </r>
  <r>
    <x v="128"/>
    <x v="0"/>
    <x v="0"/>
    <x v="0"/>
    <x v="1"/>
    <x v="77"/>
    <x v="78"/>
    <x v="6"/>
    <x v="4"/>
    <x v="0"/>
    <x v="72"/>
    <x v="0"/>
    <x v="32"/>
    <x v="43"/>
    <x v="87"/>
    <x v="76"/>
    <x v="5"/>
  </r>
  <r>
    <x v="129"/>
    <x v="0"/>
    <x v="0"/>
    <x v="0"/>
    <x v="1"/>
    <x v="80"/>
    <x v="81"/>
    <x v="10"/>
    <x v="9"/>
    <x v="0"/>
    <x v="52"/>
    <x v="0"/>
    <x v="90"/>
    <x v="50"/>
    <x v="89"/>
    <x v="79"/>
    <x v="5"/>
  </r>
  <r>
    <x v="130"/>
    <x v="0"/>
    <x v="0"/>
    <x v="0"/>
    <x v="2"/>
    <x v="81"/>
    <x v="82"/>
    <x v="8"/>
    <x v="4"/>
    <x v="0"/>
    <x v="9"/>
    <x v="0"/>
    <x v="90"/>
    <x v="33"/>
    <x v="61"/>
    <x v="7"/>
    <x v="5"/>
  </r>
  <r>
    <x v="131"/>
    <x v="0"/>
    <x v="0"/>
    <x v="0"/>
    <x v="1"/>
    <x v="82"/>
    <x v="83"/>
    <x v="6"/>
    <x v="4"/>
    <x v="0"/>
    <x v="39"/>
    <x v="0"/>
    <x v="43"/>
    <x v="20"/>
    <x v="90"/>
    <x v="80"/>
    <x v="4"/>
  </r>
  <r>
    <x v="132"/>
    <x v="0"/>
    <x v="0"/>
    <x v="0"/>
    <x v="1"/>
    <x v="83"/>
    <x v="84"/>
    <x v="10"/>
    <x v="24"/>
    <x v="0"/>
    <x v="78"/>
    <x v="0"/>
    <x v="23"/>
    <x v="51"/>
    <x v="91"/>
    <x v="81"/>
    <x v="5"/>
  </r>
  <r>
    <x v="133"/>
    <x v="0"/>
    <x v="0"/>
    <x v="0"/>
    <x v="1"/>
    <x v="84"/>
    <x v="85"/>
    <x v="36"/>
    <x v="9"/>
    <x v="0"/>
    <x v="79"/>
    <x v="0"/>
    <x v="91"/>
    <x v="48"/>
    <x v="92"/>
    <x v="82"/>
    <x v="5"/>
  </r>
  <r>
    <x v="134"/>
    <x v="0"/>
    <x v="0"/>
    <x v="0"/>
    <x v="2"/>
    <x v="85"/>
    <x v="85"/>
    <x v="36"/>
    <x v="7"/>
    <x v="0"/>
    <x v="79"/>
    <x v="0"/>
    <x v="91"/>
    <x v="33"/>
    <x v="61"/>
    <x v="7"/>
    <x v="5"/>
  </r>
  <r>
    <x v="135"/>
    <x v="0"/>
    <x v="0"/>
    <x v="0"/>
    <x v="1"/>
    <x v="86"/>
    <x v="86"/>
    <x v="37"/>
    <x v="18"/>
    <x v="0"/>
    <x v="80"/>
    <x v="0"/>
    <x v="92"/>
    <x v="52"/>
    <x v="93"/>
    <x v="83"/>
    <x v="5"/>
  </r>
  <r>
    <x v="136"/>
    <x v="0"/>
    <x v="0"/>
    <x v="0"/>
    <x v="2"/>
    <x v="87"/>
    <x v="86"/>
    <x v="37"/>
    <x v="18"/>
    <x v="0"/>
    <x v="80"/>
    <x v="0"/>
    <x v="92"/>
    <x v="33"/>
    <x v="61"/>
    <x v="7"/>
    <x v="5"/>
  </r>
  <r>
    <x v="137"/>
    <x v="0"/>
    <x v="0"/>
    <x v="0"/>
    <x v="2"/>
    <x v="88"/>
    <x v="87"/>
    <x v="37"/>
    <x v="18"/>
    <x v="0"/>
    <x v="81"/>
    <x v="0"/>
    <x v="93"/>
    <x v="33"/>
    <x v="61"/>
    <x v="7"/>
    <x v="5"/>
  </r>
  <r>
    <x v="138"/>
    <x v="0"/>
    <x v="0"/>
    <x v="0"/>
    <x v="2"/>
    <x v="87"/>
    <x v="87"/>
    <x v="37"/>
    <x v="18"/>
    <x v="0"/>
    <x v="81"/>
    <x v="0"/>
    <x v="93"/>
    <x v="33"/>
    <x v="61"/>
    <x v="7"/>
    <x v="5"/>
  </r>
  <r>
    <x v="139"/>
    <x v="0"/>
    <x v="0"/>
    <x v="0"/>
    <x v="1"/>
    <x v="70"/>
    <x v="71"/>
    <x v="3"/>
    <x v="4"/>
    <x v="0"/>
    <x v="71"/>
    <x v="0"/>
    <x v="7"/>
    <x v="43"/>
    <x v="94"/>
    <x v="84"/>
    <x v="5"/>
  </r>
  <r>
    <x v="140"/>
    <x v="0"/>
    <x v="0"/>
    <x v="0"/>
    <x v="1"/>
    <x v="89"/>
    <x v="5"/>
    <x v="4"/>
    <x v="9"/>
    <x v="0"/>
    <x v="82"/>
    <x v="0"/>
    <x v="94"/>
    <x v="53"/>
    <x v="94"/>
    <x v="85"/>
    <x v="5"/>
  </r>
  <r>
    <x v="141"/>
    <x v="0"/>
    <x v="0"/>
    <x v="0"/>
    <x v="1"/>
    <x v="90"/>
    <x v="85"/>
    <x v="38"/>
    <x v="9"/>
    <x v="0"/>
    <x v="83"/>
    <x v="0"/>
    <x v="95"/>
    <x v="48"/>
    <x v="95"/>
    <x v="86"/>
    <x v="5"/>
  </r>
  <r>
    <x v="142"/>
    <x v="0"/>
    <x v="0"/>
    <x v="0"/>
    <x v="2"/>
    <x v="91"/>
    <x v="5"/>
    <x v="38"/>
    <x v="7"/>
    <x v="0"/>
    <x v="83"/>
    <x v="0"/>
    <x v="95"/>
    <x v="33"/>
    <x v="61"/>
    <x v="7"/>
    <x v="5"/>
  </r>
  <r>
    <x v="143"/>
    <x v="0"/>
    <x v="0"/>
    <x v="0"/>
    <x v="2"/>
    <x v="92"/>
    <x v="5"/>
    <x v="21"/>
    <x v="7"/>
    <x v="0"/>
    <x v="84"/>
    <x v="0"/>
    <x v="96"/>
    <x v="33"/>
    <x v="61"/>
    <x v="7"/>
    <x v="5"/>
  </r>
  <r>
    <x v="144"/>
    <x v="0"/>
    <x v="0"/>
    <x v="0"/>
    <x v="2"/>
    <x v="93"/>
    <x v="5"/>
    <x v="21"/>
    <x v="7"/>
    <x v="0"/>
    <x v="84"/>
    <x v="0"/>
    <x v="96"/>
    <x v="33"/>
    <x v="61"/>
    <x v="7"/>
    <x v="5"/>
  </r>
  <r>
    <x v="145"/>
    <x v="0"/>
    <x v="0"/>
    <x v="0"/>
    <x v="2"/>
    <x v="94"/>
    <x v="5"/>
    <x v="39"/>
    <x v="7"/>
    <x v="0"/>
    <x v="85"/>
    <x v="0"/>
    <x v="97"/>
    <x v="33"/>
    <x v="61"/>
    <x v="7"/>
    <x v="5"/>
  </r>
  <r>
    <x v="146"/>
    <x v="0"/>
    <x v="0"/>
    <x v="0"/>
    <x v="2"/>
    <x v="95"/>
    <x v="5"/>
    <x v="39"/>
    <x v="7"/>
    <x v="0"/>
    <x v="85"/>
    <x v="0"/>
    <x v="97"/>
    <x v="33"/>
    <x v="61"/>
    <x v="7"/>
    <x v="5"/>
  </r>
  <r>
    <x v="147"/>
    <x v="0"/>
    <x v="0"/>
    <x v="0"/>
    <x v="1"/>
    <x v="96"/>
    <x v="88"/>
    <x v="40"/>
    <x v="14"/>
    <x v="0"/>
    <x v="86"/>
    <x v="0"/>
    <x v="98"/>
    <x v="48"/>
    <x v="96"/>
    <x v="87"/>
    <x v="5"/>
  </r>
  <r>
    <x v="148"/>
    <x v="0"/>
    <x v="0"/>
    <x v="0"/>
    <x v="2"/>
    <x v="97"/>
    <x v="89"/>
    <x v="40"/>
    <x v="7"/>
    <x v="0"/>
    <x v="87"/>
    <x v="0"/>
    <x v="99"/>
    <x v="33"/>
    <x v="61"/>
    <x v="7"/>
    <x v="5"/>
  </r>
  <r>
    <x v="149"/>
    <x v="0"/>
    <x v="0"/>
    <x v="0"/>
    <x v="2"/>
    <x v="98"/>
    <x v="90"/>
    <x v="41"/>
    <x v="7"/>
    <x v="0"/>
    <x v="88"/>
    <x v="0"/>
    <x v="100"/>
    <x v="33"/>
    <x v="61"/>
    <x v="7"/>
    <x v="5"/>
  </r>
  <r>
    <x v="150"/>
    <x v="0"/>
    <x v="0"/>
    <x v="0"/>
    <x v="1"/>
    <x v="57"/>
    <x v="91"/>
    <x v="6"/>
    <x v="20"/>
    <x v="0"/>
    <x v="63"/>
    <x v="0"/>
    <x v="66"/>
    <x v="37"/>
    <x v="96"/>
    <x v="88"/>
    <x v="5"/>
  </r>
  <r>
    <x v="151"/>
    <x v="0"/>
    <x v="0"/>
    <x v="0"/>
    <x v="2"/>
    <x v="57"/>
    <x v="92"/>
    <x v="6"/>
    <x v="7"/>
    <x v="0"/>
    <x v="63"/>
    <x v="0"/>
    <x v="66"/>
    <x v="33"/>
    <x v="61"/>
    <x v="7"/>
    <x v="5"/>
  </r>
  <r>
    <x v="152"/>
    <x v="0"/>
    <x v="0"/>
    <x v="0"/>
    <x v="1"/>
    <x v="99"/>
    <x v="93"/>
    <x v="28"/>
    <x v="9"/>
    <x v="0"/>
    <x v="45"/>
    <x v="0"/>
    <x v="72"/>
    <x v="39"/>
    <x v="96"/>
    <x v="89"/>
    <x v="5"/>
  </r>
  <r>
    <x v="153"/>
    <x v="0"/>
    <x v="0"/>
    <x v="0"/>
    <x v="1"/>
    <x v="100"/>
    <x v="94"/>
    <x v="42"/>
    <x v="12"/>
    <x v="0"/>
    <x v="89"/>
    <x v="0"/>
    <x v="101"/>
    <x v="54"/>
    <x v="97"/>
    <x v="90"/>
    <x v="5"/>
  </r>
  <r>
    <x v="154"/>
    <x v="0"/>
    <x v="0"/>
    <x v="0"/>
    <x v="2"/>
    <x v="101"/>
    <x v="94"/>
    <x v="42"/>
    <x v="12"/>
    <x v="0"/>
    <x v="90"/>
    <x v="0"/>
    <x v="102"/>
    <x v="33"/>
    <x v="61"/>
    <x v="7"/>
    <x v="5"/>
  </r>
  <r>
    <x v="155"/>
    <x v="0"/>
    <x v="0"/>
    <x v="0"/>
    <x v="1"/>
    <x v="70"/>
    <x v="71"/>
    <x v="3"/>
    <x v="6"/>
    <x v="0"/>
    <x v="71"/>
    <x v="0"/>
    <x v="7"/>
    <x v="43"/>
    <x v="98"/>
    <x v="91"/>
    <x v="5"/>
  </r>
  <r>
    <x v="156"/>
    <x v="0"/>
    <x v="0"/>
    <x v="0"/>
    <x v="2"/>
    <x v="68"/>
    <x v="72"/>
    <x v="43"/>
    <x v="6"/>
    <x v="0"/>
    <x v="72"/>
    <x v="0"/>
    <x v="103"/>
    <x v="33"/>
    <x v="61"/>
    <x v="7"/>
    <x v="5"/>
  </r>
  <r>
    <x v="157"/>
    <x v="0"/>
    <x v="0"/>
    <x v="0"/>
    <x v="1"/>
    <x v="66"/>
    <x v="95"/>
    <x v="44"/>
    <x v="6"/>
    <x v="0"/>
    <x v="69"/>
    <x v="0"/>
    <x v="104"/>
    <x v="41"/>
    <x v="98"/>
    <x v="92"/>
    <x v="5"/>
  </r>
  <r>
    <x v="158"/>
    <x v="0"/>
    <x v="0"/>
    <x v="0"/>
    <x v="1"/>
    <x v="102"/>
    <x v="65"/>
    <x v="44"/>
    <x v="12"/>
    <x v="0"/>
    <x v="91"/>
    <x v="0"/>
    <x v="105"/>
    <x v="47"/>
    <x v="98"/>
    <x v="93"/>
    <x v="5"/>
  </r>
  <r>
    <x v="159"/>
    <x v="0"/>
    <x v="0"/>
    <x v="0"/>
    <x v="1"/>
    <x v="64"/>
    <x v="96"/>
    <x v="4"/>
    <x v="1"/>
    <x v="0"/>
    <x v="92"/>
    <x v="0"/>
    <x v="65"/>
    <x v="40"/>
    <x v="99"/>
    <x v="94"/>
    <x v="5"/>
  </r>
  <r>
    <x v="160"/>
    <x v="0"/>
    <x v="0"/>
    <x v="0"/>
    <x v="1"/>
    <x v="103"/>
    <x v="97"/>
    <x v="6"/>
    <x v="2"/>
    <x v="0"/>
    <x v="93"/>
    <x v="0"/>
    <x v="72"/>
    <x v="55"/>
    <x v="100"/>
    <x v="95"/>
    <x v="5"/>
  </r>
  <r>
    <x v="161"/>
    <x v="0"/>
    <x v="0"/>
    <x v="0"/>
    <x v="1"/>
    <x v="73"/>
    <x v="98"/>
    <x v="6"/>
    <x v="16"/>
    <x v="0"/>
    <x v="74"/>
    <x v="0"/>
    <x v="106"/>
    <x v="46"/>
    <x v="101"/>
    <x v="96"/>
    <x v="5"/>
  </r>
  <r>
    <x v="162"/>
    <x v="0"/>
    <x v="0"/>
    <x v="0"/>
    <x v="1"/>
    <x v="104"/>
    <x v="99"/>
    <x v="45"/>
    <x v="12"/>
    <x v="0"/>
    <x v="37"/>
    <x v="0"/>
    <x v="107"/>
    <x v="19"/>
    <x v="102"/>
    <x v="97"/>
    <x v="1"/>
  </r>
  <r>
    <x v="163"/>
    <x v="0"/>
    <x v="0"/>
    <x v="0"/>
    <x v="1"/>
    <x v="105"/>
    <x v="100"/>
    <x v="26"/>
    <x v="12"/>
    <x v="0"/>
    <x v="73"/>
    <x v="0"/>
    <x v="108"/>
    <x v="44"/>
    <x v="102"/>
    <x v="98"/>
    <x v="5"/>
  </r>
  <r>
    <x v="164"/>
    <x v="0"/>
    <x v="0"/>
    <x v="0"/>
    <x v="1"/>
    <x v="80"/>
    <x v="101"/>
    <x v="6"/>
    <x v="2"/>
    <x v="0"/>
    <x v="13"/>
    <x v="0"/>
    <x v="57"/>
    <x v="56"/>
    <x v="103"/>
    <x v="99"/>
    <x v="5"/>
  </r>
  <r>
    <x v="165"/>
    <x v="0"/>
    <x v="0"/>
    <x v="0"/>
    <x v="1"/>
    <x v="106"/>
    <x v="102"/>
    <x v="21"/>
    <x v="9"/>
    <x v="0"/>
    <x v="94"/>
    <x v="0"/>
    <x v="109"/>
    <x v="48"/>
    <x v="104"/>
    <x v="100"/>
    <x v="5"/>
  </r>
  <r>
    <x v="166"/>
    <x v="0"/>
    <x v="0"/>
    <x v="0"/>
    <x v="2"/>
    <x v="106"/>
    <x v="103"/>
    <x v="46"/>
    <x v="14"/>
    <x v="0"/>
    <x v="94"/>
    <x v="0"/>
    <x v="110"/>
    <x v="33"/>
    <x v="61"/>
    <x v="7"/>
    <x v="5"/>
  </r>
  <r>
    <x v="167"/>
    <x v="0"/>
    <x v="0"/>
    <x v="0"/>
    <x v="1"/>
    <x v="107"/>
    <x v="97"/>
    <x v="47"/>
    <x v="18"/>
    <x v="0"/>
    <x v="95"/>
    <x v="0"/>
    <x v="111"/>
    <x v="52"/>
    <x v="99"/>
    <x v="101"/>
    <x v="5"/>
  </r>
  <r>
    <x v="168"/>
    <x v="0"/>
    <x v="0"/>
    <x v="0"/>
    <x v="2"/>
    <x v="108"/>
    <x v="97"/>
    <x v="47"/>
    <x v="18"/>
    <x v="0"/>
    <x v="95"/>
    <x v="0"/>
    <x v="111"/>
    <x v="33"/>
    <x v="61"/>
    <x v="7"/>
    <x v="5"/>
  </r>
  <r>
    <x v="169"/>
    <x v="0"/>
    <x v="0"/>
    <x v="0"/>
    <x v="2"/>
    <x v="109"/>
    <x v="97"/>
    <x v="47"/>
    <x v="18"/>
    <x v="0"/>
    <x v="96"/>
    <x v="0"/>
    <x v="112"/>
    <x v="33"/>
    <x v="61"/>
    <x v="7"/>
    <x v="5"/>
  </r>
  <r>
    <x v="170"/>
    <x v="0"/>
    <x v="0"/>
    <x v="0"/>
    <x v="2"/>
    <x v="110"/>
    <x v="97"/>
    <x v="47"/>
    <x v="18"/>
    <x v="0"/>
    <x v="96"/>
    <x v="0"/>
    <x v="112"/>
    <x v="33"/>
    <x v="61"/>
    <x v="7"/>
    <x v="5"/>
  </r>
  <r>
    <x v="171"/>
    <x v="0"/>
    <x v="0"/>
    <x v="0"/>
    <x v="1"/>
    <x v="111"/>
    <x v="97"/>
    <x v="48"/>
    <x v="18"/>
    <x v="0"/>
    <x v="95"/>
    <x v="0"/>
    <x v="113"/>
    <x v="52"/>
    <x v="103"/>
    <x v="102"/>
    <x v="5"/>
  </r>
  <r>
    <x v="172"/>
    <x v="0"/>
    <x v="0"/>
    <x v="0"/>
    <x v="2"/>
    <x v="112"/>
    <x v="97"/>
    <x v="48"/>
    <x v="18"/>
    <x v="0"/>
    <x v="95"/>
    <x v="0"/>
    <x v="113"/>
    <x v="33"/>
    <x v="61"/>
    <x v="7"/>
    <x v="5"/>
  </r>
  <r>
    <x v="173"/>
    <x v="0"/>
    <x v="0"/>
    <x v="0"/>
    <x v="2"/>
    <x v="113"/>
    <x v="97"/>
    <x v="48"/>
    <x v="18"/>
    <x v="0"/>
    <x v="95"/>
    <x v="0"/>
    <x v="113"/>
    <x v="33"/>
    <x v="61"/>
    <x v="7"/>
    <x v="5"/>
  </r>
  <r>
    <x v="174"/>
    <x v="0"/>
    <x v="0"/>
    <x v="0"/>
    <x v="2"/>
    <x v="114"/>
    <x v="97"/>
    <x v="48"/>
    <x v="18"/>
    <x v="0"/>
    <x v="95"/>
    <x v="0"/>
    <x v="113"/>
    <x v="33"/>
    <x v="61"/>
    <x v="7"/>
    <x v="5"/>
  </r>
  <r>
    <x v="175"/>
    <x v="0"/>
    <x v="0"/>
    <x v="0"/>
    <x v="2"/>
    <x v="115"/>
    <x v="97"/>
    <x v="48"/>
    <x v="18"/>
    <x v="0"/>
    <x v="96"/>
    <x v="0"/>
    <x v="114"/>
    <x v="33"/>
    <x v="61"/>
    <x v="7"/>
    <x v="5"/>
  </r>
  <r>
    <x v="176"/>
    <x v="0"/>
    <x v="0"/>
    <x v="0"/>
    <x v="2"/>
    <x v="116"/>
    <x v="97"/>
    <x v="48"/>
    <x v="18"/>
    <x v="0"/>
    <x v="96"/>
    <x v="0"/>
    <x v="114"/>
    <x v="33"/>
    <x v="61"/>
    <x v="7"/>
    <x v="5"/>
  </r>
  <r>
    <x v="177"/>
    <x v="0"/>
    <x v="0"/>
    <x v="0"/>
    <x v="2"/>
    <x v="117"/>
    <x v="97"/>
    <x v="48"/>
    <x v="18"/>
    <x v="0"/>
    <x v="96"/>
    <x v="0"/>
    <x v="114"/>
    <x v="33"/>
    <x v="61"/>
    <x v="7"/>
    <x v="5"/>
  </r>
  <r>
    <x v="178"/>
    <x v="0"/>
    <x v="0"/>
    <x v="0"/>
    <x v="2"/>
    <x v="118"/>
    <x v="97"/>
    <x v="48"/>
    <x v="18"/>
    <x v="0"/>
    <x v="96"/>
    <x v="0"/>
    <x v="114"/>
    <x v="33"/>
    <x v="61"/>
    <x v="7"/>
    <x v="5"/>
  </r>
  <r>
    <x v="179"/>
    <x v="0"/>
    <x v="0"/>
    <x v="0"/>
    <x v="1"/>
    <x v="119"/>
    <x v="97"/>
    <x v="49"/>
    <x v="18"/>
    <x v="0"/>
    <x v="80"/>
    <x v="0"/>
    <x v="115"/>
    <x v="52"/>
    <x v="98"/>
    <x v="103"/>
    <x v="5"/>
  </r>
  <r>
    <x v="180"/>
    <x v="0"/>
    <x v="0"/>
    <x v="0"/>
    <x v="2"/>
    <x v="120"/>
    <x v="97"/>
    <x v="49"/>
    <x v="18"/>
    <x v="0"/>
    <x v="80"/>
    <x v="0"/>
    <x v="115"/>
    <x v="33"/>
    <x v="61"/>
    <x v="7"/>
    <x v="5"/>
  </r>
  <r>
    <x v="181"/>
    <x v="0"/>
    <x v="0"/>
    <x v="0"/>
    <x v="2"/>
    <x v="121"/>
    <x v="97"/>
    <x v="49"/>
    <x v="18"/>
    <x v="0"/>
    <x v="81"/>
    <x v="0"/>
    <x v="116"/>
    <x v="33"/>
    <x v="61"/>
    <x v="7"/>
    <x v="5"/>
  </r>
  <r>
    <x v="182"/>
    <x v="0"/>
    <x v="0"/>
    <x v="0"/>
    <x v="2"/>
    <x v="122"/>
    <x v="97"/>
    <x v="49"/>
    <x v="18"/>
    <x v="0"/>
    <x v="81"/>
    <x v="0"/>
    <x v="116"/>
    <x v="33"/>
    <x v="61"/>
    <x v="7"/>
    <x v="5"/>
  </r>
  <r>
    <x v="183"/>
    <x v="0"/>
    <x v="0"/>
    <x v="0"/>
    <x v="2"/>
    <x v="123"/>
    <x v="97"/>
    <x v="20"/>
    <x v="18"/>
    <x v="0"/>
    <x v="80"/>
    <x v="0"/>
    <x v="117"/>
    <x v="33"/>
    <x v="61"/>
    <x v="7"/>
    <x v="5"/>
  </r>
  <r>
    <x v="184"/>
    <x v="0"/>
    <x v="0"/>
    <x v="0"/>
    <x v="2"/>
    <x v="124"/>
    <x v="97"/>
    <x v="20"/>
    <x v="18"/>
    <x v="0"/>
    <x v="80"/>
    <x v="0"/>
    <x v="117"/>
    <x v="33"/>
    <x v="61"/>
    <x v="7"/>
    <x v="5"/>
  </r>
  <r>
    <x v="185"/>
    <x v="0"/>
    <x v="0"/>
    <x v="0"/>
    <x v="2"/>
    <x v="125"/>
    <x v="97"/>
    <x v="20"/>
    <x v="18"/>
    <x v="0"/>
    <x v="81"/>
    <x v="0"/>
    <x v="118"/>
    <x v="33"/>
    <x v="61"/>
    <x v="7"/>
    <x v="5"/>
  </r>
  <r>
    <x v="186"/>
    <x v="0"/>
    <x v="0"/>
    <x v="0"/>
    <x v="2"/>
    <x v="126"/>
    <x v="97"/>
    <x v="20"/>
    <x v="18"/>
    <x v="0"/>
    <x v="81"/>
    <x v="0"/>
    <x v="118"/>
    <x v="33"/>
    <x v="61"/>
    <x v="7"/>
    <x v="5"/>
  </r>
  <r>
    <x v="187"/>
    <x v="0"/>
    <x v="0"/>
    <x v="0"/>
    <x v="2"/>
    <x v="127"/>
    <x v="97"/>
    <x v="50"/>
    <x v="18"/>
    <x v="0"/>
    <x v="80"/>
    <x v="0"/>
    <x v="119"/>
    <x v="33"/>
    <x v="61"/>
    <x v="7"/>
    <x v="5"/>
  </r>
  <r>
    <x v="188"/>
    <x v="0"/>
    <x v="0"/>
    <x v="0"/>
    <x v="2"/>
    <x v="128"/>
    <x v="97"/>
    <x v="50"/>
    <x v="18"/>
    <x v="0"/>
    <x v="80"/>
    <x v="0"/>
    <x v="119"/>
    <x v="33"/>
    <x v="61"/>
    <x v="7"/>
    <x v="5"/>
  </r>
  <r>
    <x v="189"/>
    <x v="0"/>
    <x v="0"/>
    <x v="0"/>
    <x v="2"/>
    <x v="129"/>
    <x v="97"/>
    <x v="50"/>
    <x v="18"/>
    <x v="0"/>
    <x v="81"/>
    <x v="0"/>
    <x v="120"/>
    <x v="33"/>
    <x v="61"/>
    <x v="7"/>
    <x v="5"/>
  </r>
  <r>
    <x v="190"/>
    <x v="0"/>
    <x v="0"/>
    <x v="0"/>
    <x v="2"/>
    <x v="130"/>
    <x v="97"/>
    <x v="50"/>
    <x v="18"/>
    <x v="0"/>
    <x v="81"/>
    <x v="0"/>
    <x v="120"/>
    <x v="33"/>
    <x v="61"/>
    <x v="7"/>
    <x v="5"/>
  </r>
  <r>
    <x v="191"/>
    <x v="0"/>
    <x v="0"/>
    <x v="0"/>
    <x v="2"/>
    <x v="131"/>
    <x v="97"/>
    <x v="51"/>
    <x v="18"/>
    <x v="0"/>
    <x v="80"/>
    <x v="0"/>
    <x v="121"/>
    <x v="33"/>
    <x v="61"/>
    <x v="7"/>
    <x v="5"/>
  </r>
  <r>
    <x v="192"/>
    <x v="0"/>
    <x v="0"/>
    <x v="0"/>
    <x v="2"/>
    <x v="132"/>
    <x v="97"/>
    <x v="51"/>
    <x v="18"/>
    <x v="0"/>
    <x v="80"/>
    <x v="0"/>
    <x v="121"/>
    <x v="33"/>
    <x v="61"/>
    <x v="7"/>
    <x v="5"/>
  </r>
  <r>
    <x v="193"/>
    <x v="0"/>
    <x v="0"/>
    <x v="0"/>
    <x v="2"/>
    <x v="133"/>
    <x v="97"/>
    <x v="51"/>
    <x v="18"/>
    <x v="0"/>
    <x v="81"/>
    <x v="0"/>
    <x v="122"/>
    <x v="33"/>
    <x v="61"/>
    <x v="7"/>
    <x v="5"/>
  </r>
  <r>
    <x v="194"/>
    <x v="0"/>
    <x v="0"/>
    <x v="0"/>
    <x v="2"/>
    <x v="134"/>
    <x v="97"/>
    <x v="51"/>
    <x v="18"/>
    <x v="0"/>
    <x v="81"/>
    <x v="0"/>
    <x v="122"/>
    <x v="33"/>
    <x v="61"/>
    <x v="7"/>
    <x v="5"/>
  </r>
  <r>
    <x v="195"/>
    <x v="0"/>
    <x v="0"/>
    <x v="0"/>
    <x v="1"/>
    <x v="135"/>
    <x v="104"/>
    <x v="8"/>
    <x v="21"/>
    <x v="0"/>
    <x v="97"/>
    <x v="0"/>
    <x v="123"/>
    <x v="57"/>
    <x v="105"/>
    <x v="104"/>
    <x v="5"/>
  </r>
  <r>
    <x v="196"/>
    <x v="0"/>
    <x v="0"/>
    <x v="0"/>
    <x v="2"/>
    <x v="135"/>
    <x v="105"/>
    <x v="52"/>
    <x v="25"/>
    <x v="0"/>
    <x v="98"/>
    <x v="0"/>
    <x v="5"/>
    <x v="33"/>
    <x v="61"/>
    <x v="7"/>
    <x v="5"/>
  </r>
  <r>
    <x v="197"/>
    <x v="0"/>
    <x v="0"/>
    <x v="0"/>
    <x v="1"/>
    <x v="136"/>
    <x v="106"/>
    <x v="3"/>
    <x v="26"/>
    <x v="0"/>
    <x v="99"/>
    <x v="0"/>
    <x v="124"/>
    <x v="46"/>
    <x v="106"/>
    <x v="105"/>
    <x v="5"/>
  </r>
  <r>
    <x v="198"/>
    <x v="0"/>
    <x v="0"/>
    <x v="0"/>
    <x v="1"/>
    <x v="137"/>
    <x v="107"/>
    <x v="9"/>
    <x v="21"/>
    <x v="0"/>
    <x v="100"/>
    <x v="0"/>
    <x v="125"/>
    <x v="57"/>
    <x v="107"/>
    <x v="106"/>
    <x v="5"/>
  </r>
  <r>
    <x v="199"/>
    <x v="0"/>
    <x v="0"/>
    <x v="0"/>
    <x v="1"/>
    <x v="66"/>
    <x v="95"/>
    <x v="53"/>
    <x v="21"/>
    <x v="0"/>
    <x v="69"/>
    <x v="0"/>
    <x v="126"/>
    <x v="41"/>
    <x v="108"/>
    <x v="107"/>
    <x v="5"/>
  </r>
  <r>
    <x v="200"/>
    <x v="0"/>
    <x v="0"/>
    <x v="0"/>
    <x v="1"/>
    <x v="77"/>
    <x v="78"/>
    <x v="6"/>
    <x v="21"/>
    <x v="0"/>
    <x v="72"/>
    <x v="0"/>
    <x v="32"/>
    <x v="43"/>
    <x v="108"/>
    <x v="108"/>
    <x v="5"/>
  </r>
  <r>
    <x v="201"/>
    <x v="0"/>
    <x v="0"/>
    <x v="0"/>
    <x v="2"/>
    <x v="138"/>
    <x v="108"/>
    <x v="32"/>
    <x v="21"/>
    <x v="0"/>
    <x v="101"/>
    <x v="0"/>
    <x v="127"/>
    <x v="33"/>
    <x v="61"/>
    <x v="7"/>
    <x v="5"/>
  </r>
  <r>
    <x v="202"/>
    <x v="0"/>
    <x v="0"/>
    <x v="0"/>
    <x v="2"/>
    <x v="138"/>
    <x v="109"/>
    <x v="32"/>
    <x v="21"/>
    <x v="0"/>
    <x v="102"/>
    <x v="0"/>
    <x v="128"/>
    <x v="33"/>
    <x v="61"/>
    <x v="7"/>
    <x v="5"/>
  </r>
  <r>
    <x v="203"/>
    <x v="0"/>
    <x v="0"/>
    <x v="0"/>
    <x v="1"/>
    <x v="139"/>
    <x v="110"/>
    <x v="5"/>
    <x v="27"/>
    <x v="0"/>
    <x v="103"/>
    <x v="0"/>
    <x v="129"/>
    <x v="46"/>
    <x v="109"/>
    <x v="109"/>
    <x v="5"/>
  </r>
  <r>
    <x v="204"/>
    <x v="0"/>
    <x v="0"/>
    <x v="0"/>
    <x v="1"/>
    <x v="140"/>
    <x v="111"/>
    <x v="6"/>
    <x v="28"/>
    <x v="0"/>
    <x v="42"/>
    <x v="0"/>
    <x v="46"/>
    <x v="47"/>
    <x v="109"/>
    <x v="110"/>
    <x v="5"/>
  </r>
  <r>
    <x v="205"/>
    <x v="0"/>
    <x v="0"/>
    <x v="0"/>
    <x v="1"/>
    <x v="141"/>
    <x v="112"/>
    <x v="22"/>
    <x v="12"/>
    <x v="0"/>
    <x v="104"/>
    <x v="0"/>
    <x v="130"/>
    <x v="58"/>
    <x v="110"/>
    <x v="111"/>
    <x v="5"/>
  </r>
  <r>
    <x v="206"/>
    <x v="0"/>
    <x v="0"/>
    <x v="0"/>
    <x v="1"/>
    <x v="73"/>
    <x v="98"/>
    <x v="54"/>
    <x v="16"/>
    <x v="0"/>
    <x v="74"/>
    <x v="0"/>
    <x v="131"/>
    <x v="46"/>
    <x v="111"/>
    <x v="112"/>
    <x v="5"/>
  </r>
  <r>
    <x v="207"/>
    <x v="0"/>
    <x v="0"/>
    <x v="0"/>
    <x v="1"/>
    <x v="142"/>
    <x v="113"/>
    <x v="6"/>
    <x v="27"/>
    <x v="0"/>
    <x v="105"/>
    <x v="0"/>
    <x v="132"/>
    <x v="46"/>
    <x v="112"/>
    <x v="113"/>
    <x v="5"/>
  </r>
  <r>
    <x v="208"/>
    <x v="0"/>
    <x v="0"/>
    <x v="0"/>
    <x v="1"/>
    <x v="99"/>
    <x v="93"/>
    <x v="8"/>
    <x v="9"/>
    <x v="0"/>
    <x v="45"/>
    <x v="0"/>
    <x v="13"/>
    <x v="39"/>
    <x v="113"/>
    <x v="114"/>
    <x v="5"/>
  </r>
  <r>
    <x v="209"/>
    <x v="0"/>
    <x v="0"/>
    <x v="0"/>
    <x v="1"/>
    <x v="70"/>
    <x v="71"/>
    <x v="3"/>
    <x v="4"/>
    <x v="0"/>
    <x v="71"/>
    <x v="0"/>
    <x v="7"/>
    <x v="43"/>
    <x v="114"/>
    <x v="115"/>
    <x v="5"/>
  </r>
  <r>
    <x v="210"/>
    <x v="0"/>
    <x v="0"/>
    <x v="0"/>
    <x v="2"/>
    <x v="77"/>
    <x v="78"/>
    <x v="5"/>
    <x v="4"/>
    <x v="0"/>
    <x v="72"/>
    <x v="0"/>
    <x v="77"/>
    <x v="33"/>
    <x v="61"/>
    <x v="7"/>
    <x v="5"/>
  </r>
  <r>
    <x v="211"/>
    <x v="0"/>
    <x v="0"/>
    <x v="0"/>
    <x v="2"/>
    <x v="68"/>
    <x v="72"/>
    <x v="43"/>
    <x v="4"/>
    <x v="0"/>
    <x v="72"/>
    <x v="0"/>
    <x v="103"/>
    <x v="33"/>
    <x v="61"/>
    <x v="7"/>
    <x v="5"/>
  </r>
  <r>
    <x v="212"/>
    <x v="0"/>
    <x v="0"/>
    <x v="0"/>
    <x v="2"/>
    <x v="138"/>
    <x v="109"/>
    <x v="43"/>
    <x v="4"/>
    <x v="0"/>
    <x v="102"/>
    <x v="0"/>
    <x v="133"/>
    <x v="33"/>
    <x v="61"/>
    <x v="7"/>
    <x v="5"/>
  </r>
  <r>
    <x v="213"/>
    <x v="0"/>
    <x v="0"/>
    <x v="0"/>
    <x v="1"/>
    <x v="143"/>
    <x v="114"/>
    <x v="6"/>
    <x v="28"/>
    <x v="0"/>
    <x v="52"/>
    <x v="0"/>
    <x v="3"/>
    <x v="43"/>
    <x v="115"/>
    <x v="116"/>
    <x v="5"/>
  </r>
  <r>
    <x v="214"/>
    <x v="0"/>
    <x v="0"/>
    <x v="0"/>
    <x v="1"/>
    <x v="144"/>
    <x v="115"/>
    <x v="9"/>
    <x v="12"/>
    <x v="0"/>
    <x v="106"/>
    <x v="0"/>
    <x v="134"/>
    <x v="34"/>
    <x v="116"/>
    <x v="117"/>
    <x v="5"/>
  </r>
  <r>
    <x v="215"/>
    <x v="0"/>
    <x v="0"/>
    <x v="0"/>
    <x v="1"/>
    <x v="89"/>
    <x v="5"/>
    <x v="8"/>
    <x v="2"/>
    <x v="0"/>
    <x v="82"/>
    <x v="0"/>
    <x v="135"/>
    <x v="53"/>
    <x v="113"/>
    <x v="118"/>
    <x v="5"/>
  </r>
  <r>
    <x v="216"/>
    <x v="0"/>
    <x v="0"/>
    <x v="0"/>
    <x v="2"/>
    <x v="145"/>
    <x v="116"/>
    <x v="8"/>
    <x v="9"/>
    <x v="0"/>
    <x v="107"/>
    <x v="0"/>
    <x v="136"/>
    <x v="33"/>
    <x v="61"/>
    <x v="7"/>
    <x v="5"/>
  </r>
  <r>
    <x v="217"/>
    <x v="0"/>
    <x v="0"/>
    <x v="0"/>
    <x v="1"/>
    <x v="146"/>
    <x v="117"/>
    <x v="55"/>
    <x v="12"/>
    <x v="0"/>
    <x v="108"/>
    <x v="0"/>
    <x v="137"/>
    <x v="54"/>
    <x v="114"/>
    <x v="11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16:H82" firstHeaderRow="1" firstDataRow="1" firstDataCol="2"/>
  <pivotFields count="17">
    <pivotField compact="0" showAll="0">
      <items count="2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48">
        <item x="104"/>
        <item x="78"/>
        <item x="141"/>
        <item x="101"/>
        <item x="20"/>
        <item x="142"/>
        <item x="34"/>
        <item x="46"/>
        <item x="65"/>
        <item x="102"/>
        <item x="60"/>
        <item x="140"/>
        <item x="6"/>
        <item x="100"/>
        <item x="74"/>
        <item x="143"/>
        <item x="40"/>
        <item x="32"/>
        <item x="76"/>
        <item x="87"/>
        <item x="86"/>
        <item x="88"/>
        <item x="85"/>
        <item x="84"/>
        <item x="91"/>
        <item x="90"/>
        <item x="93"/>
        <item x="92"/>
        <item x="95"/>
        <item x="94"/>
        <item x="98"/>
        <item x="97"/>
        <item x="96"/>
        <item x="27"/>
        <item x="26"/>
        <item x="24"/>
        <item x="28"/>
        <item x="57"/>
        <item x="139"/>
        <item x="47"/>
        <item x="43"/>
        <item x="35"/>
        <item x="62"/>
        <item x="71"/>
        <item x="105"/>
        <item x="33"/>
        <item x="39"/>
        <item x="42"/>
        <item x="38"/>
        <item x="36"/>
        <item x="0"/>
        <item x="108"/>
        <item x="110"/>
        <item x="107"/>
        <item x="109"/>
        <item x="112"/>
        <item x="116"/>
        <item x="111"/>
        <item x="115"/>
        <item x="114"/>
        <item x="118"/>
        <item x="113"/>
        <item x="117"/>
        <item x="120"/>
        <item x="122"/>
        <item x="119"/>
        <item x="121"/>
        <item x="124"/>
        <item x="126"/>
        <item x="123"/>
        <item x="125"/>
        <item x="128"/>
        <item x="130"/>
        <item x="127"/>
        <item x="129"/>
        <item x="132"/>
        <item x="134"/>
        <item x="131"/>
        <item x="133"/>
        <item x="54"/>
        <item x="41"/>
        <item x="16"/>
        <item x="9"/>
        <item x="44"/>
        <item x="69"/>
        <item x="4"/>
        <item x="53"/>
        <item x="37"/>
        <item x="52"/>
        <item x="51"/>
        <item x="75"/>
        <item x="59"/>
        <item x="66"/>
        <item x="12"/>
        <item x="21"/>
        <item x="135"/>
        <item x="137"/>
        <item x="70"/>
        <item x="58"/>
        <item x="103"/>
        <item x="68"/>
        <item x="82"/>
        <item x="145"/>
        <item x="17"/>
        <item x="136"/>
        <item x="89"/>
        <item x="72"/>
        <item x="10"/>
        <item x="49"/>
        <item x="30"/>
        <item x="31"/>
        <item x="15"/>
        <item x="67"/>
        <item x="11"/>
        <item x="23"/>
        <item x="25"/>
        <item x="5"/>
        <item x="146"/>
        <item x="14"/>
        <item x="73"/>
        <item x="29"/>
        <item x="61"/>
        <item x="19"/>
        <item x="45"/>
        <item x="50"/>
        <item x="80"/>
        <item x="48"/>
        <item x="22"/>
        <item x="2"/>
        <item x="79"/>
        <item x="64"/>
        <item x="1"/>
        <item x="77"/>
        <item x="83"/>
        <item x="144"/>
        <item x="3"/>
        <item x="8"/>
        <item x="7"/>
        <item x="81"/>
        <item x="99"/>
        <item x="63"/>
        <item x="13"/>
        <item x="138"/>
        <item x="55"/>
        <item x="18"/>
        <item x="106"/>
        <item x="56"/>
        <item t="default"/>
      </items>
    </pivotField>
    <pivotField compact="0" showAll="0">
      <items count="119">
        <item x="11"/>
        <item x="22"/>
        <item x="38"/>
        <item x="115"/>
        <item x="94"/>
        <item x="18"/>
        <item x="32"/>
        <item x="111"/>
        <item x="16"/>
        <item x="17"/>
        <item x="26"/>
        <item x="63"/>
        <item x="47"/>
        <item x="76"/>
        <item x="113"/>
        <item x="100"/>
        <item x="65"/>
        <item x="39"/>
        <item x="73"/>
        <item x="110"/>
        <item x="99"/>
        <item x="58"/>
        <item x="46"/>
        <item x="74"/>
        <item x="42"/>
        <item x="51"/>
        <item x="84"/>
        <item x="45"/>
        <item x="83"/>
        <item x="114"/>
        <item x="19"/>
        <item x="49"/>
        <item x="50"/>
        <item x="52"/>
        <item x="75"/>
        <item x="106"/>
        <item x="79"/>
        <item x="112"/>
        <item x="98"/>
        <item x="117"/>
        <item x="10"/>
        <item x="37"/>
        <item x="23"/>
        <item x="24"/>
        <item x="25"/>
        <item x="0"/>
        <item x="43"/>
        <item x="8"/>
        <item x="33"/>
        <item x="44"/>
        <item x="27"/>
        <item x="66"/>
        <item x="15"/>
        <item x="40"/>
        <item x="29"/>
        <item x="34"/>
        <item x="85"/>
        <item x="77"/>
        <item x="3"/>
        <item x="1"/>
        <item x="2"/>
        <item x="90"/>
        <item x="28"/>
        <item x="69"/>
        <item x="67"/>
        <item x="70"/>
        <item x="68"/>
        <item x="89"/>
        <item x="64"/>
        <item x="31"/>
        <item x="108"/>
        <item x="109"/>
        <item x="72"/>
        <item x="21"/>
        <item x="59"/>
        <item x="7"/>
        <item x="9"/>
        <item x="96"/>
        <item x="62"/>
        <item x="71"/>
        <item x="78"/>
        <item x="82"/>
        <item x="81"/>
        <item x="88"/>
        <item x="4"/>
        <item x="91"/>
        <item x="92"/>
        <item x="56"/>
        <item x="57"/>
        <item x="30"/>
        <item x="36"/>
        <item x="116"/>
        <item x="48"/>
        <item x="41"/>
        <item x="35"/>
        <item x="14"/>
        <item x="13"/>
        <item x="101"/>
        <item x="105"/>
        <item x="104"/>
        <item x="107"/>
        <item x="53"/>
        <item x="54"/>
        <item x="55"/>
        <item x="86"/>
        <item x="87"/>
        <item x="20"/>
        <item x="95"/>
        <item x="61"/>
        <item x="60"/>
        <item x="93"/>
        <item x="97"/>
        <item x="80"/>
        <item x="6"/>
        <item x="12"/>
        <item x="102"/>
        <item x="103"/>
        <item x="5"/>
        <item t="default"/>
      </items>
    </pivotField>
    <pivotField compact="0" showAll="0">
      <items count="57">
        <item x="32"/>
        <item x="34"/>
        <item x="43"/>
        <item x="6"/>
        <item x="5"/>
        <item x="0"/>
        <item x="13"/>
        <item x="3"/>
        <item x="7"/>
        <item x="54"/>
        <item x="14"/>
        <item x="55"/>
        <item x="9"/>
        <item x="2"/>
        <item x="53"/>
        <item x="35"/>
        <item x="8"/>
        <item x="33"/>
        <item x="23"/>
        <item x="27"/>
        <item x="26"/>
        <item x="28"/>
        <item x="45"/>
        <item x="4"/>
        <item x="29"/>
        <item x="24"/>
        <item x="30"/>
        <item x="31"/>
        <item x="16"/>
        <item x="10"/>
        <item x="22"/>
        <item x="36"/>
        <item x="51"/>
        <item x="25"/>
        <item x="37"/>
        <item x="11"/>
        <item x="38"/>
        <item x="42"/>
        <item x="49"/>
        <item x="39"/>
        <item x="50"/>
        <item x="21"/>
        <item x="20"/>
        <item x="15"/>
        <item x="19"/>
        <item x="44"/>
        <item x="52"/>
        <item x="48"/>
        <item x="47"/>
        <item x="1"/>
        <item x="40"/>
        <item x="41"/>
        <item x="12"/>
        <item x="46"/>
        <item x="18"/>
        <item x="17"/>
        <item t="default"/>
      </items>
    </pivotField>
    <pivotField compact="0" showAll="0">
      <items count="30">
        <item x="10"/>
        <item x="15"/>
        <item x="25"/>
        <item x="4"/>
        <item x="21"/>
        <item x="24"/>
        <item x="17"/>
        <item x="13"/>
        <item x="28"/>
        <item x="22"/>
        <item x="11"/>
        <item x="9"/>
        <item x="20"/>
        <item x="6"/>
        <item x="26"/>
        <item x="23"/>
        <item x="1"/>
        <item x="0"/>
        <item x="18"/>
        <item x="8"/>
        <item x="12"/>
        <item x="3"/>
        <item x="27"/>
        <item x="19"/>
        <item x="2"/>
        <item x="16"/>
        <item x="5"/>
        <item x="14"/>
        <item x="7"/>
        <item t="default"/>
      </items>
    </pivotField>
    <pivotField compact="0" showAll="0">
      <items count="2">
        <item x="0"/>
        <item t="default"/>
      </items>
    </pivotField>
    <pivotField compact="0" showAll="0">
      <items count="110">
        <item x="29"/>
        <item x="80"/>
        <item x="81"/>
        <item x="95"/>
        <item x="96"/>
        <item x="98"/>
        <item x="48"/>
        <item x="58"/>
        <item x="50"/>
        <item x="1"/>
        <item x="94"/>
        <item x="49"/>
        <item x="26"/>
        <item x="38"/>
        <item x="107"/>
        <item x="5"/>
        <item x="18"/>
        <item x="99"/>
        <item x="25"/>
        <item x="89"/>
        <item x="82"/>
        <item x="10"/>
        <item x="92"/>
        <item x="90"/>
        <item x="78"/>
        <item x="37"/>
        <item x="104"/>
        <item x="0"/>
        <item x="73"/>
        <item x="91"/>
        <item x="76"/>
        <item x="86"/>
        <item x="83"/>
        <item x="44"/>
        <item x="84"/>
        <item x="85"/>
        <item x="87"/>
        <item x="88"/>
        <item x="79"/>
        <item x="75"/>
        <item x="45"/>
        <item x="69"/>
        <item x="23"/>
        <item x="53"/>
        <item x="24"/>
        <item x="33"/>
        <item x="34"/>
        <item x="55"/>
        <item x="100"/>
        <item x="103"/>
        <item x="74"/>
        <item x="62"/>
        <item x="32"/>
        <item x="20"/>
        <item x="61"/>
        <item x="2"/>
        <item x="105"/>
        <item x="97"/>
        <item x="67"/>
        <item x="51"/>
        <item x="108"/>
        <item x="59"/>
        <item x="57"/>
        <item x="4"/>
        <item x="16"/>
        <item x="71"/>
        <item x="43"/>
        <item x="36"/>
        <item x="3"/>
        <item x="54"/>
        <item x="65"/>
        <item x="63"/>
        <item x="60"/>
        <item x="72"/>
        <item x="52"/>
        <item x="101"/>
        <item x="41"/>
        <item x="102"/>
        <item x="47"/>
        <item x="19"/>
        <item x="13"/>
        <item x="21"/>
        <item x="106"/>
        <item x="12"/>
        <item x="39"/>
        <item x="17"/>
        <item x="35"/>
        <item x="7"/>
        <item x="6"/>
        <item x="11"/>
        <item x="70"/>
        <item x="93"/>
        <item x="77"/>
        <item x="64"/>
        <item x="42"/>
        <item x="56"/>
        <item x="40"/>
        <item x="8"/>
        <item x="9"/>
        <item x="28"/>
        <item x="22"/>
        <item x="31"/>
        <item x="14"/>
        <item x="30"/>
        <item x="46"/>
        <item x="15"/>
        <item x="66"/>
        <item x="68"/>
        <item x="27"/>
        <item t="default"/>
      </items>
    </pivotField>
    <pivotField compact="0" numFmtId="9" showAll="0">
      <items count="2">
        <item x="0"/>
        <item t="default"/>
      </items>
    </pivotField>
    <pivotField compact="0" numFmtId="4" showAll="0">
      <items count="139">
        <item x="121"/>
        <item x="92"/>
        <item x="122"/>
        <item x="93"/>
        <item x="115"/>
        <item x="116"/>
        <item x="119"/>
        <item x="117"/>
        <item x="120"/>
        <item x="118"/>
        <item x="78"/>
        <item x="127"/>
        <item x="128"/>
        <item x="36"/>
        <item x="124"/>
        <item x="0"/>
        <item x="106"/>
        <item x="35"/>
        <item x="12"/>
        <item x="132"/>
        <item x="82"/>
        <item x="79"/>
        <item x="136"/>
        <item x="129"/>
        <item x="113"/>
        <item x="40"/>
        <item x="111"/>
        <item x="14"/>
        <item x="103"/>
        <item x="30"/>
        <item x="60"/>
        <item x="114"/>
        <item x="86"/>
        <item x="62"/>
        <item x="133"/>
        <item x="112"/>
        <item x="37"/>
        <item x="135"/>
        <item x="10"/>
        <item x="48"/>
        <item x="54"/>
        <item x="68"/>
        <item x="2"/>
        <item x="66"/>
        <item x="84"/>
        <item x="83"/>
        <item x="32"/>
        <item x="3"/>
        <item x="70"/>
        <item x="28"/>
        <item x="45"/>
        <item x="61"/>
        <item x="26"/>
        <item x="131"/>
        <item x="21"/>
        <item x="22"/>
        <item x="29"/>
        <item x="126"/>
        <item x="57"/>
        <item x="94"/>
        <item x="5"/>
        <item x="125"/>
        <item x="13"/>
        <item x="85"/>
        <item x="63"/>
        <item x="65"/>
        <item x="108"/>
        <item x="43"/>
        <item x="77"/>
        <item x="64"/>
        <item x="80"/>
        <item x="107"/>
        <item x="49"/>
        <item x="16"/>
        <item x="109"/>
        <item x="137"/>
        <item x="88"/>
        <item x="7"/>
        <item x="71"/>
        <item x="47"/>
        <item x="11"/>
        <item x="81"/>
        <item x="15"/>
        <item x="39"/>
        <item x="4"/>
        <item x="52"/>
        <item x="72"/>
        <item x="46"/>
        <item x="23"/>
        <item x="44"/>
        <item x="42"/>
        <item x="41"/>
        <item x="123"/>
        <item x="6"/>
        <item x="50"/>
        <item x="130"/>
        <item x="9"/>
        <item x="74"/>
        <item x="1"/>
        <item x="101"/>
        <item x="56"/>
        <item x="31"/>
        <item x="76"/>
        <item x="34"/>
        <item x="102"/>
        <item x="58"/>
        <item x="59"/>
        <item x="55"/>
        <item x="27"/>
        <item x="20"/>
        <item x="91"/>
        <item x="51"/>
        <item x="95"/>
        <item x="69"/>
        <item x="24"/>
        <item x="25"/>
        <item x="67"/>
        <item x="134"/>
        <item x="97"/>
        <item x="89"/>
        <item x="87"/>
        <item x="96"/>
        <item x="105"/>
        <item x="8"/>
        <item x="75"/>
        <item x="53"/>
        <item x="104"/>
        <item x="110"/>
        <item x="98"/>
        <item x="90"/>
        <item x="99"/>
        <item x="73"/>
        <item x="100"/>
        <item x="38"/>
        <item x="18"/>
        <item x="19"/>
        <item x="17"/>
        <item x="33"/>
        <item t="default"/>
      </items>
    </pivotField>
    <pivotField axis="axisRow" compact="0" showAll="0">
      <items count="60">
        <item x="9"/>
        <item x="11"/>
        <item x="52"/>
        <item x="37"/>
        <item x="42"/>
        <item x="32"/>
        <item x="0"/>
        <item x="7"/>
        <item x="29"/>
        <item x="28"/>
        <item x="54"/>
        <item x="13"/>
        <item x="10"/>
        <item x="15"/>
        <item x="44"/>
        <item x="40"/>
        <item x="26"/>
        <item x="20"/>
        <item x="45"/>
        <item x="51"/>
        <item x="19"/>
        <item x="1"/>
        <item x="50"/>
        <item x="57"/>
        <item x="24"/>
        <item x="18"/>
        <item x="16"/>
        <item x="12"/>
        <item x="25"/>
        <item x="21"/>
        <item x="36"/>
        <item x="35"/>
        <item x="56"/>
        <item x="30"/>
        <item x="27"/>
        <item x="6"/>
        <item x="46"/>
        <item x="14"/>
        <item x="5"/>
        <item x="2"/>
        <item x="43"/>
        <item x="49"/>
        <item x="8"/>
        <item x="39"/>
        <item x="34"/>
        <item x="22"/>
        <item x="55"/>
        <item x="48"/>
        <item x="47"/>
        <item x="53"/>
        <item x="58"/>
        <item x="3"/>
        <item x="41"/>
        <item x="38"/>
        <item x="31"/>
        <item x="17"/>
        <item x="23"/>
        <item x="4"/>
        <item x="33"/>
        <item t="default"/>
      </items>
    </pivotField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1"/>
        <item x="83"/>
        <item x="84"/>
        <item x="85"/>
        <item x="86"/>
        <item x="88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3"/>
        <item x="100"/>
        <item x="101"/>
        <item x="102"/>
        <item x="104"/>
        <item x="106"/>
        <item x="107"/>
        <item x="105"/>
        <item x="108"/>
        <item x="110"/>
        <item x="109"/>
        <item x="112"/>
        <item x="111"/>
        <item x="113"/>
        <item x="114"/>
        <item x="115"/>
        <item x="116"/>
        <item x="61"/>
        <item t="default"/>
      </items>
    </pivotField>
    <pivotField compact="0" showAll="0">
      <items count="121">
        <item x="3"/>
        <item x="4"/>
        <item x="1"/>
        <item x="5"/>
        <item x="6"/>
        <item x="8"/>
        <item x="10"/>
        <item x="12"/>
        <item x="11"/>
        <item x="13"/>
        <item x="14"/>
        <item x="15"/>
        <item x="17"/>
        <item x="18"/>
        <item x="19"/>
        <item x="21"/>
        <item x="26"/>
        <item x="30"/>
        <item x="37"/>
        <item x="43"/>
        <item x="42"/>
        <item x="44"/>
        <item x="46"/>
        <item x="48"/>
        <item x="50"/>
        <item x="51"/>
        <item x="53"/>
        <item x="55"/>
        <item x="64"/>
        <item x="66"/>
        <item x="16"/>
        <item x="20"/>
        <item x="36"/>
        <item x="56"/>
        <item x="57"/>
        <item x="63"/>
        <item x="31"/>
        <item x="47"/>
        <item x="40"/>
        <item x="23"/>
        <item x="54"/>
        <item x="70"/>
        <item x="34"/>
        <item x="41"/>
        <item x="39"/>
        <item x="27"/>
        <item x="58"/>
        <item x="59"/>
        <item x="60"/>
        <item x="61"/>
        <item x="62"/>
        <item x="65"/>
        <item x="67"/>
        <item x="69"/>
        <item x="68"/>
        <item x="71"/>
        <item x="72"/>
        <item x="73"/>
        <item x="75"/>
        <item x="74"/>
        <item x="78"/>
        <item x="77"/>
        <item x="76"/>
        <item x="79"/>
        <item x="80"/>
        <item x="81"/>
        <item x="82"/>
        <item x="83"/>
        <item x="85"/>
        <item x="84"/>
        <item x="86"/>
        <item x="88"/>
        <item x="87"/>
        <item x="89"/>
        <item x="90"/>
        <item x="91"/>
        <item x="92"/>
        <item x="93"/>
        <item x="103"/>
        <item x="101"/>
        <item x="94"/>
        <item x="99"/>
        <item x="102"/>
        <item x="95"/>
        <item x="96"/>
        <item x="98"/>
        <item x="97"/>
        <item x="100"/>
        <item x="104"/>
        <item x="105"/>
        <item x="106"/>
        <item x="108"/>
        <item x="107"/>
        <item x="111"/>
        <item x="110"/>
        <item x="109"/>
        <item x="112"/>
        <item x="113"/>
        <item x="114"/>
        <item x="118"/>
        <item x="119"/>
        <item x="115"/>
        <item x="116"/>
        <item x="9"/>
        <item x="25"/>
        <item x="32"/>
        <item x="117"/>
        <item x="22"/>
        <item x="28"/>
        <item x="29"/>
        <item x="38"/>
        <item x="33"/>
        <item x="45"/>
        <item x="52"/>
        <item x="49"/>
        <item x="35"/>
        <item x="24"/>
        <item x="0"/>
        <item x="2"/>
        <item x="7"/>
        <item t="default"/>
      </items>
    </pivotField>
    <pivotField axis="axisRow" compact="0" showAll="0">
      <items count="7">
        <item x="0"/>
        <item x="4"/>
        <item x="1"/>
        <item x="2"/>
        <item x="3"/>
        <item x="5"/>
        <item t="default"/>
      </items>
    </pivotField>
  </pivotFields>
  <rowFields count="2">
    <field x="16"/>
    <field x="13"/>
  </rowFields>
  <rowItems count="66">
    <i>
      <x/>
    </i>
    <i r="1">
      <x v="6"/>
    </i>
    <i r="1">
      <x v="7"/>
    </i>
    <i r="1">
      <x v="8"/>
    </i>
    <i r="1">
      <x v="13"/>
    </i>
    <i r="1">
      <x v="21"/>
    </i>
    <i r="1">
      <x v="29"/>
    </i>
    <i r="1">
      <x v="34"/>
    </i>
    <i r="1">
      <x v="38"/>
    </i>
    <i r="1">
      <x v="45"/>
    </i>
    <i>
      <x v="1"/>
    </i>
    <i r="1">
      <x v="17"/>
    </i>
    <i>
      <x v="2"/>
    </i>
    <i r="1">
      <x/>
    </i>
    <i r="1">
      <x v="1"/>
    </i>
    <i r="1">
      <x v="5"/>
    </i>
    <i r="1">
      <x v="9"/>
    </i>
    <i r="1">
      <x v="12"/>
    </i>
    <i r="1">
      <x v="16"/>
    </i>
    <i r="1">
      <x v="18"/>
    </i>
    <i r="1">
      <x v="20"/>
    </i>
    <i r="1">
      <x v="24"/>
    </i>
    <i r="1">
      <x v="25"/>
    </i>
    <i r="1">
      <x v="26"/>
    </i>
    <i r="1">
      <x v="27"/>
    </i>
    <i r="1">
      <x v="28"/>
    </i>
    <i r="1">
      <x v="33"/>
    </i>
    <i r="1">
      <x v="37"/>
    </i>
    <i r="1">
      <x v="39"/>
    </i>
    <i r="1">
      <x v="42"/>
    </i>
    <i r="1">
      <x v="51"/>
    </i>
    <i r="1">
      <x v="54"/>
    </i>
    <i r="1">
      <x v="55"/>
    </i>
    <i r="1">
      <x v="56"/>
    </i>
    <i>
      <x v="3"/>
    </i>
    <i r="1">
      <x v="35"/>
    </i>
    <i r="1">
      <x v="57"/>
    </i>
    <i>
      <x v="4"/>
    </i>
    <i r="1">
      <x v="11"/>
    </i>
    <i>
      <x v="5"/>
    </i>
    <i r="1">
      <x v="2"/>
    </i>
    <i r="1">
      <x v="3"/>
    </i>
    <i r="1">
      <x v="4"/>
    </i>
    <i r="1">
      <x v="10"/>
    </i>
    <i r="1">
      <x v="14"/>
    </i>
    <i r="1">
      <x v="15"/>
    </i>
    <i r="1">
      <x v="19"/>
    </i>
    <i r="1">
      <x v="22"/>
    </i>
    <i r="1">
      <x v="23"/>
    </i>
    <i r="1">
      <x v="30"/>
    </i>
    <i r="1">
      <x v="31"/>
    </i>
    <i r="1">
      <x v="32"/>
    </i>
    <i r="1">
      <x v="36"/>
    </i>
    <i r="1">
      <x v="40"/>
    </i>
    <i r="1">
      <x v="41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8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76"/>
  <sheetViews>
    <sheetView tabSelected="1" zoomScale="70" zoomScaleNormal="70" workbookViewId="0">
      <pane ySplit="2" topLeftCell="A1150" activePane="bottomLeft" state="frozen"/>
      <selection/>
      <selection pane="bottomLeft" activeCell="F1159" sqref="F1159"/>
    </sheetView>
  </sheetViews>
  <sheetFormatPr defaultColWidth="8.72727272727273" defaultRowHeight="16.5"/>
  <cols>
    <col min="1" max="1" width="10.8" style="35" customWidth="1"/>
    <col min="2" max="2" width="8.06363636363636" style="35" customWidth="1"/>
    <col min="3" max="3" width="17.4" style="35" customWidth="1"/>
    <col min="4" max="4" width="36.1363636363636" style="35" customWidth="1"/>
    <col min="5" max="5" width="9.33636363636364" style="36" customWidth="1"/>
    <col min="6" max="6" width="27.5272727272727" style="36" customWidth="1"/>
    <col min="7" max="7" width="43.1090909090909" style="35" customWidth="1"/>
    <col min="8" max="8" width="13.2454545454545" style="36" customWidth="1"/>
    <col min="9" max="9" width="5.8" style="36" customWidth="1"/>
    <col min="10" max="10" width="12.3363636363636" style="35" customWidth="1"/>
    <col min="11" max="11" width="11.1363636363636" style="36" customWidth="1"/>
    <col min="12" max="12" width="5.2" style="35" customWidth="1"/>
    <col min="13" max="13" width="11.1363636363636" style="36" customWidth="1"/>
    <col min="14" max="14" width="23.4" style="36" customWidth="1"/>
    <col min="15" max="15" width="12.5272727272727" style="36" customWidth="1"/>
    <col min="16" max="16" width="20.5272727272727" style="37" customWidth="1"/>
    <col min="17" max="17" width="8.13636363636364" style="35" customWidth="1"/>
    <col min="18" max="18" width="12.2636363636364" style="35" customWidth="1"/>
    <col min="19" max="19" width="15.0636363636364" style="35" customWidth="1"/>
    <col min="20" max="20" width="17.8636363636364" style="35" customWidth="1"/>
    <col min="21" max="21" width="11.1363636363636" style="35" customWidth="1"/>
    <col min="22" max="22" width="9.13636363636364" style="35" customWidth="1"/>
    <col min="23" max="23" width="17.5272727272727" style="35" customWidth="1"/>
    <col min="24" max="16384" width="8.72727272727273" style="35"/>
  </cols>
  <sheetData>
    <row r="1" ht="53.1" customHeight="1" spans="1:22">
      <c r="D1" s="38" t="s">
        <v>0</v>
      </c>
      <c r="E1" s="38" t="s">
        <v>1</v>
      </c>
    </row>
    <row r="2" spans="1:22">
      <c r="A2" s="39" t="s">
        <v>2</v>
      </c>
      <c r="B2" s="40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40" t="s">
        <v>8</v>
      </c>
      <c r="H2" s="40" t="s">
        <v>9</v>
      </c>
      <c r="I2" s="40" t="s">
        <v>10</v>
      </c>
      <c r="J2" s="40" t="s">
        <v>11</v>
      </c>
      <c r="K2" s="41" t="s">
        <v>12</v>
      </c>
      <c r="L2" s="41" t="s">
        <v>13</v>
      </c>
      <c r="M2" s="40" t="s">
        <v>14</v>
      </c>
      <c r="N2" s="40" t="s">
        <v>15</v>
      </c>
      <c r="O2" s="42" t="s">
        <v>16</v>
      </c>
      <c r="P2" s="43" t="s">
        <v>17</v>
      </c>
      <c r="Q2" s="43" t="s">
        <v>18</v>
      </c>
      <c r="R2" s="43" t="s">
        <v>19</v>
      </c>
      <c r="S2" s="43" t="s">
        <v>20</v>
      </c>
      <c r="T2" s="43" t="s">
        <v>21</v>
      </c>
      <c r="U2" s="43" t="s">
        <v>22</v>
      </c>
      <c r="V2" s="43" t="s">
        <v>23</v>
      </c>
    </row>
    <row r="3" s="32" customFormat="1" spans="1:22">
      <c r="A3" s="44">
        <v>1</v>
      </c>
      <c r="B3" s="44"/>
      <c r="C3" s="44" t="s">
        <v>24</v>
      </c>
      <c r="D3" s="44"/>
      <c r="E3" s="45" t="s">
        <v>25</v>
      </c>
      <c r="F3" s="46" t="s">
        <v>26</v>
      </c>
      <c r="G3" s="47" t="s">
        <v>27</v>
      </c>
      <c r="H3" s="46">
        <v>3</v>
      </c>
      <c r="I3" s="47" t="s">
        <v>28</v>
      </c>
      <c r="J3" s="44"/>
      <c r="K3" s="48">
        <v>25</v>
      </c>
      <c r="L3" s="49">
        <v>0.13</v>
      </c>
      <c r="M3" s="50">
        <f>K3*H3</f>
        <v>75</v>
      </c>
      <c r="N3" s="46" t="s">
        <v>29</v>
      </c>
      <c r="O3" s="51">
        <v>43654</v>
      </c>
      <c r="P3" s="52" t="s">
        <v>30</v>
      </c>
      <c r="Q3" s="32" t="str">
        <f>VLOOKUP(N3,[1]Sheet1!$F$1:$H$126,3,0)</f>
        <v>即期</v>
      </c>
      <c r="U3" s="32" t="s">
        <v>31</v>
      </c>
    </row>
    <row r="4" s="32" customFormat="1" spans="1:22">
      <c r="A4" s="44">
        <v>2</v>
      </c>
      <c r="B4" s="44"/>
      <c r="C4" s="44" t="s">
        <v>24</v>
      </c>
      <c r="D4" s="44"/>
      <c r="E4" s="45" t="s">
        <v>25</v>
      </c>
      <c r="F4" s="46" t="s">
        <v>32</v>
      </c>
      <c r="G4" s="47" t="s">
        <v>33</v>
      </c>
      <c r="H4" s="46">
        <v>1000</v>
      </c>
      <c r="I4" s="47" t="s">
        <v>34</v>
      </c>
      <c r="J4" s="44"/>
      <c r="K4" s="48">
        <v>2.8</v>
      </c>
      <c r="L4" s="49">
        <v>0.13</v>
      </c>
      <c r="M4" s="50">
        <f t="shared" ref="M4:M35" si="0">K4*H4</f>
        <v>2800</v>
      </c>
      <c r="N4" s="46" t="s">
        <v>35</v>
      </c>
      <c r="O4" s="45">
        <v>43661</v>
      </c>
      <c r="P4" s="53" t="s">
        <v>36</v>
      </c>
      <c r="Q4" s="32" t="str">
        <f>VLOOKUP(N4,[1]Sheet1!$F$1:$H$126,3,0)</f>
        <v>即期</v>
      </c>
      <c r="U4" s="32" t="s">
        <v>31</v>
      </c>
    </row>
    <row r="5" s="32" customFormat="1" spans="1:22">
      <c r="A5" s="44">
        <v>3</v>
      </c>
      <c r="B5" s="44"/>
      <c r="C5" s="44" t="s">
        <v>24</v>
      </c>
      <c r="D5" s="44"/>
      <c r="E5" s="45" t="s">
        <v>25</v>
      </c>
      <c r="F5" s="46" t="s">
        <v>26</v>
      </c>
      <c r="G5" s="47" t="s">
        <v>27</v>
      </c>
      <c r="H5" s="46">
        <v>15</v>
      </c>
      <c r="I5" s="47" t="s">
        <v>28</v>
      </c>
      <c r="J5" s="44"/>
      <c r="K5" s="48">
        <v>25</v>
      </c>
      <c r="L5" s="49">
        <v>0.13</v>
      </c>
      <c r="M5" s="50">
        <f t="shared" si="0"/>
        <v>375</v>
      </c>
      <c r="N5" s="46" t="s">
        <v>29</v>
      </c>
      <c r="O5" s="45">
        <v>43790</v>
      </c>
      <c r="P5" s="53" t="s">
        <v>37</v>
      </c>
      <c r="Q5" s="32" t="str">
        <f>VLOOKUP(N5,[1]Sheet1!$F$1:$H$126,3,0)</f>
        <v>即期</v>
      </c>
      <c r="U5" s="32" t="s">
        <v>31</v>
      </c>
    </row>
    <row r="6" s="32" customFormat="1" spans="1:22">
      <c r="A6" s="44">
        <v>4</v>
      </c>
      <c r="B6" s="44"/>
      <c r="C6" s="44" t="s">
        <v>24</v>
      </c>
      <c r="D6" s="44"/>
      <c r="E6" s="45" t="s">
        <v>25</v>
      </c>
      <c r="F6" s="46" t="s">
        <v>38</v>
      </c>
      <c r="G6" s="47" t="s">
        <v>39</v>
      </c>
      <c r="H6" s="46">
        <v>5</v>
      </c>
      <c r="I6" s="47" t="s">
        <v>34</v>
      </c>
      <c r="J6" s="44"/>
      <c r="K6" s="48">
        <v>100</v>
      </c>
      <c r="L6" s="49">
        <v>0.13</v>
      </c>
      <c r="M6" s="50">
        <f t="shared" si="0"/>
        <v>500</v>
      </c>
      <c r="N6" s="46" t="s">
        <v>40</v>
      </c>
      <c r="O6" s="45">
        <v>43909</v>
      </c>
      <c r="P6" s="53" t="s">
        <v>41</v>
      </c>
      <c r="Q6" s="32" t="str">
        <f>VLOOKUP(N6,[1]Sheet1!$F$1:$H$126,3,0)</f>
        <v>预付</v>
      </c>
      <c r="U6" s="32" t="s">
        <v>31</v>
      </c>
    </row>
    <row r="7" s="32" customFormat="1" spans="1:22">
      <c r="A7" s="44">
        <v>5</v>
      </c>
      <c r="B7" s="44"/>
      <c r="C7" s="44" t="s">
        <v>24</v>
      </c>
      <c r="D7" s="44"/>
      <c r="E7" s="45" t="s">
        <v>25</v>
      </c>
      <c r="F7" s="46" t="s">
        <v>38</v>
      </c>
      <c r="G7" s="47" t="s">
        <v>42</v>
      </c>
      <c r="H7" s="46">
        <v>5</v>
      </c>
      <c r="I7" s="47" t="s">
        <v>34</v>
      </c>
      <c r="J7" s="44"/>
      <c r="K7" s="48">
        <v>305</v>
      </c>
      <c r="L7" s="49">
        <v>0.13</v>
      </c>
      <c r="M7" s="50">
        <f t="shared" si="0"/>
        <v>1525</v>
      </c>
      <c r="N7" s="46" t="s">
        <v>40</v>
      </c>
      <c r="O7" s="45">
        <v>43909</v>
      </c>
      <c r="P7" s="53" t="s">
        <v>41</v>
      </c>
      <c r="Q7" s="32" t="str">
        <f>VLOOKUP(N7,[1]Sheet1!$F$1:$H$126,3,0)</f>
        <v>预付</v>
      </c>
      <c r="U7" s="32" t="s">
        <v>31</v>
      </c>
    </row>
    <row r="8" s="32" customFormat="1" spans="1:22">
      <c r="A8" s="44">
        <v>6</v>
      </c>
      <c r="B8" s="44"/>
      <c r="C8" s="44" t="s">
        <v>24</v>
      </c>
      <c r="D8" s="44"/>
      <c r="E8" s="45" t="s">
        <v>25</v>
      </c>
      <c r="F8" s="46" t="s">
        <v>38</v>
      </c>
      <c r="G8" s="47" t="s">
        <v>43</v>
      </c>
      <c r="H8" s="46">
        <v>5</v>
      </c>
      <c r="I8" s="47" t="s">
        <v>34</v>
      </c>
      <c r="J8" s="44"/>
      <c r="K8" s="48">
        <v>150</v>
      </c>
      <c r="L8" s="49">
        <v>0.13</v>
      </c>
      <c r="M8" s="50">
        <f t="shared" si="0"/>
        <v>750</v>
      </c>
      <c r="N8" s="46" t="s">
        <v>40</v>
      </c>
      <c r="O8" s="45">
        <v>43910</v>
      </c>
      <c r="P8" s="53" t="s">
        <v>44</v>
      </c>
      <c r="Q8" s="32" t="str">
        <f>VLOOKUP(N8,[1]Sheet1!$F$1:$H$126,3,0)</f>
        <v>预付</v>
      </c>
      <c r="U8" s="32" t="s">
        <v>31</v>
      </c>
    </row>
    <row r="9" s="32" customFormat="1" spans="1:22">
      <c r="A9" s="44">
        <v>7</v>
      </c>
      <c r="B9" s="44"/>
      <c r="C9" s="44" t="s">
        <v>24</v>
      </c>
      <c r="D9" s="44"/>
      <c r="E9" s="45" t="s">
        <v>25</v>
      </c>
      <c r="F9" s="46" t="s">
        <v>45</v>
      </c>
      <c r="G9" s="47"/>
      <c r="H9" s="46">
        <v>50</v>
      </c>
      <c r="I9" s="47" t="s">
        <v>46</v>
      </c>
      <c r="J9" s="44"/>
      <c r="K9" s="48">
        <v>10</v>
      </c>
      <c r="L9" s="49">
        <v>0.13</v>
      </c>
      <c r="M9" s="50">
        <f t="shared" si="0"/>
        <v>500</v>
      </c>
      <c r="N9" s="46" t="s">
        <v>35</v>
      </c>
      <c r="O9" s="45">
        <v>43963</v>
      </c>
      <c r="P9" s="53" t="s">
        <v>47</v>
      </c>
      <c r="Q9" s="32" t="str">
        <f>VLOOKUP(N9,[1]Sheet1!$F$1:$H$126,3,0)</f>
        <v>即期</v>
      </c>
      <c r="U9" s="32" t="s">
        <v>31</v>
      </c>
    </row>
    <row r="10" s="32" customFormat="1" spans="1:22">
      <c r="A10" s="44">
        <v>8</v>
      </c>
      <c r="B10" s="44"/>
      <c r="C10" s="44" t="s">
        <v>24</v>
      </c>
      <c r="D10" s="44"/>
      <c r="E10" s="45" t="s">
        <v>25</v>
      </c>
      <c r="F10" s="46" t="s">
        <v>48</v>
      </c>
      <c r="G10" s="47"/>
      <c r="H10" s="46">
        <v>2</v>
      </c>
      <c r="I10" s="47" t="s">
        <v>28</v>
      </c>
      <c r="J10" s="44"/>
      <c r="K10" s="48">
        <v>1130</v>
      </c>
      <c r="L10" s="49">
        <v>0.13</v>
      </c>
      <c r="M10" s="50">
        <f t="shared" si="0"/>
        <v>2260</v>
      </c>
      <c r="N10" s="46" t="s">
        <v>35</v>
      </c>
      <c r="O10" s="45">
        <v>43963</v>
      </c>
      <c r="P10" s="53" t="s">
        <v>47</v>
      </c>
      <c r="Q10" s="32" t="str">
        <f>VLOOKUP(N10,[1]Sheet1!$F$1:$H$126,3,0)</f>
        <v>即期</v>
      </c>
      <c r="U10" s="32" t="s">
        <v>31</v>
      </c>
    </row>
    <row r="11" s="32" customFormat="1" spans="1:22">
      <c r="A11" s="44">
        <v>9</v>
      </c>
      <c r="B11" s="44"/>
      <c r="C11" s="44" t="s">
        <v>24</v>
      </c>
      <c r="D11" s="44"/>
      <c r="E11" s="45" t="s">
        <v>25</v>
      </c>
      <c r="F11" s="46" t="s">
        <v>45</v>
      </c>
      <c r="G11" s="47"/>
      <c r="H11" s="46">
        <v>50</v>
      </c>
      <c r="I11" s="47" t="s">
        <v>46</v>
      </c>
      <c r="J11" s="44"/>
      <c r="K11" s="48">
        <v>10</v>
      </c>
      <c r="L11" s="49">
        <v>0.13</v>
      </c>
      <c r="M11" s="50">
        <f t="shared" si="0"/>
        <v>500</v>
      </c>
      <c r="N11" s="46" t="s">
        <v>35</v>
      </c>
      <c r="O11" s="45">
        <v>43972</v>
      </c>
      <c r="P11" s="53" t="s">
        <v>49</v>
      </c>
      <c r="Q11" s="32" t="str">
        <f>VLOOKUP(N11,[1]Sheet1!$F$1:$H$126,3,0)</f>
        <v>即期</v>
      </c>
      <c r="U11" s="32" t="s">
        <v>31</v>
      </c>
    </row>
    <row r="12" s="32" customFormat="1" spans="1:22">
      <c r="A12" s="44">
        <v>10</v>
      </c>
      <c r="B12" s="44"/>
      <c r="C12" s="44" t="s">
        <v>24</v>
      </c>
      <c r="D12" s="44"/>
      <c r="E12" s="45" t="s">
        <v>25</v>
      </c>
      <c r="F12" s="46" t="s">
        <v>48</v>
      </c>
      <c r="G12" s="47"/>
      <c r="H12" s="46">
        <v>1</v>
      </c>
      <c r="I12" s="47" t="s">
        <v>28</v>
      </c>
      <c r="J12" s="44"/>
      <c r="K12" s="48">
        <v>1100</v>
      </c>
      <c r="L12" s="49">
        <v>0.13</v>
      </c>
      <c r="M12" s="50">
        <f t="shared" si="0"/>
        <v>1100</v>
      </c>
      <c r="N12" s="46" t="s">
        <v>35</v>
      </c>
      <c r="O12" s="45">
        <v>43972</v>
      </c>
      <c r="P12" s="53" t="s">
        <v>49</v>
      </c>
      <c r="Q12" s="32" t="str">
        <f>VLOOKUP(N12,[1]Sheet1!$F$1:$H$126,3,0)</f>
        <v>即期</v>
      </c>
      <c r="U12" s="32" t="s">
        <v>31</v>
      </c>
    </row>
    <row r="13" s="32" customFormat="1" spans="1:22">
      <c r="A13" s="44">
        <v>11</v>
      </c>
      <c r="B13" s="44"/>
      <c r="C13" s="44" t="s">
        <v>24</v>
      </c>
      <c r="D13" s="44"/>
      <c r="E13" s="45" t="s">
        <v>25</v>
      </c>
      <c r="F13" s="46" t="s">
        <v>50</v>
      </c>
      <c r="G13" s="47" t="s">
        <v>51</v>
      </c>
      <c r="H13" s="46">
        <v>6</v>
      </c>
      <c r="I13" s="47" t="s">
        <v>52</v>
      </c>
      <c r="J13" s="44"/>
      <c r="K13" s="48">
        <v>2000</v>
      </c>
      <c r="L13" s="49">
        <v>0.13</v>
      </c>
      <c r="M13" s="50">
        <f t="shared" si="0"/>
        <v>12000</v>
      </c>
      <c r="N13" s="46" t="s">
        <v>53</v>
      </c>
      <c r="O13" s="45">
        <v>44000</v>
      </c>
      <c r="P13" s="53"/>
      <c r="Q13" s="32" t="str">
        <f>VLOOKUP(N13,[1]Sheet1!$F$1:$H$126,3,0)</f>
        <v>预付</v>
      </c>
      <c r="U13" s="32" t="s">
        <v>31</v>
      </c>
    </row>
    <row r="14" s="32" customFormat="1" spans="1:22">
      <c r="A14" s="44">
        <v>12</v>
      </c>
      <c r="B14" s="44"/>
      <c r="C14" s="44" t="s">
        <v>24</v>
      </c>
      <c r="D14" s="44"/>
      <c r="E14" s="45" t="s">
        <v>25</v>
      </c>
      <c r="F14" s="46" t="s">
        <v>45</v>
      </c>
      <c r="G14" s="47" t="s">
        <v>54</v>
      </c>
      <c r="H14" s="46">
        <v>50</v>
      </c>
      <c r="I14" s="47" t="s">
        <v>46</v>
      </c>
      <c r="J14" s="44"/>
      <c r="K14" s="48">
        <v>10</v>
      </c>
      <c r="L14" s="49">
        <v>0.13</v>
      </c>
      <c r="M14" s="50">
        <f t="shared" si="0"/>
        <v>500</v>
      </c>
      <c r="N14" s="46" t="s">
        <v>35</v>
      </c>
      <c r="O14" s="45">
        <v>44004</v>
      </c>
      <c r="P14" s="53" t="s">
        <v>55</v>
      </c>
      <c r="Q14" s="32" t="str">
        <f>VLOOKUP(N14,[1]Sheet1!$F$1:$H$126,3,0)</f>
        <v>即期</v>
      </c>
      <c r="U14" s="32" t="s">
        <v>31</v>
      </c>
    </row>
    <row r="15" s="32" customFormat="1" spans="1:22">
      <c r="A15" s="44">
        <v>13</v>
      </c>
      <c r="B15" s="44"/>
      <c r="C15" s="44" t="s">
        <v>24</v>
      </c>
      <c r="D15" s="44"/>
      <c r="E15" s="45" t="s">
        <v>25</v>
      </c>
      <c r="F15" s="46" t="s">
        <v>56</v>
      </c>
      <c r="G15" s="47" t="s">
        <v>57</v>
      </c>
      <c r="H15" s="46">
        <v>1</v>
      </c>
      <c r="I15" s="47" t="s">
        <v>58</v>
      </c>
      <c r="J15" s="44"/>
      <c r="K15" s="48">
        <v>2500</v>
      </c>
      <c r="L15" s="49">
        <v>0.13</v>
      </c>
      <c r="M15" s="50">
        <f t="shared" si="0"/>
        <v>2500</v>
      </c>
      <c r="N15" s="46" t="s">
        <v>59</v>
      </c>
      <c r="O15" s="45">
        <v>44033</v>
      </c>
      <c r="P15" s="53" t="s">
        <v>60</v>
      </c>
      <c r="Q15" s="32" t="str">
        <f>VLOOKUP(N15,[1]Sheet1!$F$1:$H$126,3,0)</f>
        <v>预付+即期</v>
      </c>
      <c r="U15" s="32" t="s">
        <v>31</v>
      </c>
    </row>
    <row r="16" s="32" customFormat="1" spans="1:22">
      <c r="A16" s="44">
        <v>14</v>
      </c>
      <c r="B16" s="44"/>
      <c r="C16" s="44" t="s">
        <v>24</v>
      </c>
      <c r="D16" s="44"/>
      <c r="E16" s="45" t="s">
        <v>25</v>
      </c>
      <c r="F16" s="46" t="s">
        <v>61</v>
      </c>
      <c r="G16" s="47" t="s">
        <v>54</v>
      </c>
      <c r="H16" s="46">
        <v>20</v>
      </c>
      <c r="I16" s="47" t="s">
        <v>62</v>
      </c>
      <c r="J16" s="44"/>
      <c r="K16" s="48">
        <v>15</v>
      </c>
      <c r="L16" s="49">
        <v>0.13</v>
      </c>
      <c r="M16" s="50">
        <f t="shared" si="0"/>
        <v>300</v>
      </c>
      <c r="N16" s="46" t="s">
        <v>35</v>
      </c>
      <c r="O16" s="45">
        <v>44094</v>
      </c>
      <c r="P16" s="53" t="s">
        <v>63</v>
      </c>
      <c r="Q16" s="32" t="str">
        <f>VLOOKUP(N16,[1]Sheet1!$F$1:$H$126,3,0)</f>
        <v>即期</v>
      </c>
      <c r="U16" s="32" t="s">
        <v>31</v>
      </c>
    </row>
    <row r="17" s="32" customFormat="1" spans="1:21">
      <c r="A17" s="44">
        <v>15</v>
      </c>
      <c r="B17" s="44"/>
      <c r="C17" s="44" t="s">
        <v>24</v>
      </c>
      <c r="D17" s="44"/>
      <c r="E17" s="45" t="s">
        <v>25</v>
      </c>
      <c r="F17" s="46" t="s">
        <v>48</v>
      </c>
      <c r="G17" s="47"/>
      <c r="H17" s="46">
        <v>1</v>
      </c>
      <c r="I17" s="47" t="s">
        <v>62</v>
      </c>
      <c r="J17" s="44"/>
      <c r="K17" s="48">
        <v>1200</v>
      </c>
      <c r="L17" s="49">
        <v>0.13</v>
      </c>
      <c r="M17" s="50">
        <f t="shared" si="0"/>
        <v>1200</v>
      </c>
      <c r="N17" s="46" t="s">
        <v>35</v>
      </c>
      <c r="O17" s="45">
        <v>44094</v>
      </c>
      <c r="P17" s="53" t="s">
        <v>63</v>
      </c>
      <c r="Q17" s="32" t="str">
        <f>VLOOKUP(N17,[1]Sheet1!$F$1:$H$126,3,0)</f>
        <v>即期</v>
      </c>
      <c r="U17" s="32" t="s">
        <v>31</v>
      </c>
    </row>
    <row r="18" s="32" customFormat="1" spans="1:21">
      <c r="A18" s="44">
        <v>16</v>
      </c>
      <c r="B18" s="44"/>
      <c r="C18" s="44" t="s">
        <v>24</v>
      </c>
      <c r="D18" s="44"/>
      <c r="E18" s="45" t="s">
        <v>25</v>
      </c>
      <c r="F18" s="46" t="s">
        <v>64</v>
      </c>
      <c r="G18" s="47" t="s">
        <v>65</v>
      </c>
      <c r="H18" s="46">
        <v>10</v>
      </c>
      <c r="I18" s="47" t="s">
        <v>62</v>
      </c>
      <c r="J18" s="44"/>
      <c r="K18" s="48">
        <v>10</v>
      </c>
      <c r="L18" s="49">
        <v>0.13</v>
      </c>
      <c r="M18" s="50">
        <f t="shared" si="0"/>
        <v>100</v>
      </c>
      <c r="N18" s="46" t="s">
        <v>66</v>
      </c>
      <c r="O18" s="45">
        <v>44113</v>
      </c>
      <c r="P18" s="53" t="s">
        <v>67</v>
      </c>
      <c r="Q18" s="32" t="str">
        <f>VLOOKUP(N18,[1]Sheet1!$F$1:$H$126,3,0)</f>
        <v>即期</v>
      </c>
      <c r="U18" s="32" t="s">
        <v>31</v>
      </c>
    </row>
    <row r="19" s="32" customFormat="1" spans="1:21">
      <c r="A19" s="44">
        <v>17</v>
      </c>
      <c r="B19" s="44"/>
      <c r="C19" s="44" t="s">
        <v>24</v>
      </c>
      <c r="D19" s="44"/>
      <c r="E19" s="45" t="s">
        <v>25</v>
      </c>
      <c r="F19" s="46" t="s">
        <v>48</v>
      </c>
      <c r="G19" s="47"/>
      <c r="H19" s="46">
        <v>1</v>
      </c>
      <c r="I19" s="47" t="s">
        <v>62</v>
      </c>
      <c r="J19" s="44"/>
      <c r="K19" s="48">
        <v>800</v>
      </c>
      <c r="L19" s="49">
        <v>0.13</v>
      </c>
      <c r="M19" s="50">
        <f t="shared" si="0"/>
        <v>800</v>
      </c>
      <c r="N19" s="46" t="s">
        <v>66</v>
      </c>
      <c r="O19" s="45">
        <v>44113</v>
      </c>
      <c r="P19" s="53" t="s">
        <v>67</v>
      </c>
      <c r="Q19" s="32" t="str">
        <f>VLOOKUP(N19,[1]Sheet1!$F$1:$H$126,3,0)</f>
        <v>即期</v>
      </c>
      <c r="U19" s="32" t="s">
        <v>31</v>
      </c>
    </row>
    <row r="20" s="32" customFormat="1" spans="1:21">
      <c r="A20" s="44">
        <v>18</v>
      </c>
      <c r="B20" s="44"/>
      <c r="C20" s="44" t="s">
        <v>24</v>
      </c>
      <c r="D20" s="44"/>
      <c r="E20" s="45" t="s">
        <v>25</v>
      </c>
      <c r="F20" s="46" t="s">
        <v>64</v>
      </c>
      <c r="G20" s="47" t="s">
        <v>65</v>
      </c>
      <c r="H20" s="46">
        <v>20</v>
      </c>
      <c r="I20" s="47" t="s">
        <v>62</v>
      </c>
      <c r="J20" s="44"/>
      <c r="K20" s="48">
        <v>15</v>
      </c>
      <c r="L20" s="49">
        <v>0.13</v>
      </c>
      <c r="M20" s="50">
        <f t="shared" si="0"/>
        <v>300</v>
      </c>
      <c r="N20" s="46" t="s">
        <v>66</v>
      </c>
      <c r="O20" s="45">
        <v>44113</v>
      </c>
      <c r="P20" s="53" t="s">
        <v>67</v>
      </c>
      <c r="Q20" s="32" t="str">
        <f>VLOOKUP(N20,[1]Sheet1!$F$1:$H$126,3,0)</f>
        <v>即期</v>
      </c>
      <c r="U20" s="32" t="s">
        <v>31</v>
      </c>
    </row>
    <row r="21" s="32" customFormat="1" spans="1:21">
      <c r="A21" s="44">
        <v>19</v>
      </c>
      <c r="B21" s="44"/>
      <c r="C21" s="44" t="s">
        <v>24</v>
      </c>
      <c r="D21" s="44"/>
      <c r="E21" s="45" t="s">
        <v>25</v>
      </c>
      <c r="F21" s="46" t="s">
        <v>48</v>
      </c>
      <c r="G21" s="47"/>
      <c r="H21" s="46">
        <v>1</v>
      </c>
      <c r="I21" s="47" t="s">
        <v>62</v>
      </c>
      <c r="J21" s="44"/>
      <c r="K21" s="48">
        <v>1200</v>
      </c>
      <c r="L21" s="49">
        <v>0.13</v>
      </c>
      <c r="M21" s="50">
        <f t="shared" si="0"/>
        <v>1200</v>
      </c>
      <c r="N21" s="46" t="s">
        <v>66</v>
      </c>
      <c r="O21" s="45">
        <v>44113</v>
      </c>
      <c r="P21" s="53" t="s">
        <v>68</v>
      </c>
      <c r="Q21" s="32" t="str">
        <f>VLOOKUP(N21,[1]Sheet1!$F$1:$H$126,3,0)</f>
        <v>即期</v>
      </c>
      <c r="U21" s="32" t="s">
        <v>31</v>
      </c>
    </row>
    <row r="22" s="32" customFormat="1" spans="1:21">
      <c r="A22" s="44">
        <v>20</v>
      </c>
      <c r="B22" s="44"/>
      <c r="C22" s="44" t="s">
        <v>24</v>
      </c>
      <c r="D22" s="44"/>
      <c r="E22" s="45" t="s">
        <v>25</v>
      </c>
      <c r="F22" s="46" t="s">
        <v>64</v>
      </c>
      <c r="G22" s="47" t="s">
        <v>65</v>
      </c>
      <c r="H22" s="46">
        <v>10</v>
      </c>
      <c r="I22" s="47" t="s">
        <v>62</v>
      </c>
      <c r="J22" s="44"/>
      <c r="K22" s="48">
        <v>10</v>
      </c>
      <c r="L22" s="49">
        <v>0.13</v>
      </c>
      <c r="M22" s="50">
        <f t="shared" si="0"/>
        <v>100</v>
      </c>
      <c r="N22" s="46" t="s">
        <v>66</v>
      </c>
      <c r="O22" s="45">
        <v>44121</v>
      </c>
      <c r="P22" s="53" t="s">
        <v>69</v>
      </c>
      <c r="Q22" s="32" t="str">
        <f>VLOOKUP(N22,[1]Sheet1!$F$1:$H$126,3,0)</f>
        <v>即期</v>
      </c>
      <c r="U22" s="32" t="s">
        <v>31</v>
      </c>
    </row>
    <row r="23" s="32" customFormat="1" spans="1:21">
      <c r="A23" s="44">
        <v>21</v>
      </c>
      <c r="B23" s="44"/>
      <c r="C23" s="44" t="s">
        <v>24</v>
      </c>
      <c r="D23" s="44"/>
      <c r="E23" s="45" t="s">
        <v>25</v>
      </c>
      <c r="F23" s="46" t="s">
        <v>48</v>
      </c>
      <c r="G23" s="47"/>
      <c r="H23" s="46">
        <v>1</v>
      </c>
      <c r="I23" s="47" t="s">
        <v>62</v>
      </c>
      <c r="J23" s="44"/>
      <c r="K23" s="48">
        <v>800</v>
      </c>
      <c r="L23" s="49">
        <v>0.13</v>
      </c>
      <c r="M23" s="50">
        <f t="shared" si="0"/>
        <v>800</v>
      </c>
      <c r="N23" s="46" t="s">
        <v>66</v>
      </c>
      <c r="O23" s="45">
        <v>44121</v>
      </c>
      <c r="P23" s="53" t="s">
        <v>69</v>
      </c>
      <c r="Q23" s="32" t="str">
        <f>VLOOKUP(N23,[1]Sheet1!$F$1:$H$126,3,0)</f>
        <v>即期</v>
      </c>
      <c r="U23" s="32" t="s">
        <v>31</v>
      </c>
    </row>
    <row r="24" s="32" customFormat="1" spans="1:21">
      <c r="A24" s="44">
        <v>22</v>
      </c>
      <c r="B24" s="44"/>
      <c r="C24" s="44" t="s">
        <v>24</v>
      </c>
      <c r="D24" s="44"/>
      <c r="E24" s="45" t="s">
        <v>25</v>
      </c>
      <c r="F24" s="46" t="s">
        <v>64</v>
      </c>
      <c r="G24" s="47" t="s">
        <v>65</v>
      </c>
      <c r="H24" s="46">
        <v>20</v>
      </c>
      <c r="I24" s="47" t="s">
        <v>62</v>
      </c>
      <c r="J24" s="44"/>
      <c r="K24" s="48">
        <v>10</v>
      </c>
      <c r="L24" s="49">
        <v>0.13</v>
      </c>
      <c r="M24" s="50">
        <f t="shared" si="0"/>
        <v>200</v>
      </c>
      <c r="N24" s="46" t="s">
        <v>66</v>
      </c>
      <c r="O24" s="45">
        <v>44124</v>
      </c>
      <c r="P24" s="53" t="s">
        <v>70</v>
      </c>
      <c r="Q24" s="32" t="str">
        <f>VLOOKUP(N24,[1]Sheet1!$F$1:$H$126,3,0)</f>
        <v>即期</v>
      </c>
      <c r="U24" s="32" t="s">
        <v>31</v>
      </c>
    </row>
    <row r="25" s="32" customFormat="1" spans="1:21">
      <c r="A25" s="44">
        <v>23</v>
      </c>
      <c r="B25" s="44"/>
      <c r="C25" s="44" t="s">
        <v>24</v>
      </c>
      <c r="D25" s="44"/>
      <c r="E25" s="45" t="s">
        <v>25</v>
      </c>
      <c r="F25" s="46" t="s">
        <v>48</v>
      </c>
      <c r="G25" s="47"/>
      <c r="H25" s="46">
        <v>2</v>
      </c>
      <c r="I25" s="47" t="s">
        <v>62</v>
      </c>
      <c r="J25" s="44"/>
      <c r="K25" s="48">
        <v>700</v>
      </c>
      <c r="L25" s="49">
        <v>0.13</v>
      </c>
      <c r="M25" s="50">
        <f t="shared" si="0"/>
        <v>1400</v>
      </c>
      <c r="N25" s="46" t="s">
        <v>66</v>
      </c>
      <c r="O25" s="45">
        <v>44124</v>
      </c>
      <c r="P25" s="53" t="s">
        <v>70</v>
      </c>
      <c r="Q25" s="32" t="str">
        <f>VLOOKUP(N25,[1]Sheet1!$F$1:$H$126,3,0)</f>
        <v>即期</v>
      </c>
      <c r="U25" s="32" t="s">
        <v>31</v>
      </c>
    </row>
    <row r="26" s="32" customFormat="1" spans="1:21">
      <c r="A26" s="44">
        <v>24</v>
      </c>
      <c r="B26" s="44"/>
      <c r="C26" s="44" t="s">
        <v>24</v>
      </c>
      <c r="D26" s="44"/>
      <c r="E26" s="45" t="s">
        <v>25</v>
      </c>
      <c r="F26" s="46" t="s">
        <v>71</v>
      </c>
      <c r="G26" s="47" t="s">
        <v>72</v>
      </c>
      <c r="H26" s="46">
        <v>100</v>
      </c>
      <c r="I26" s="47" t="s">
        <v>62</v>
      </c>
      <c r="J26" s="44"/>
      <c r="K26" s="48">
        <v>10</v>
      </c>
      <c r="L26" s="49">
        <v>0.13</v>
      </c>
      <c r="M26" s="50">
        <f t="shared" si="0"/>
        <v>1000</v>
      </c>
      <c r="N26" s="46" t="s">
        <v>73</v>
      </c>
      <c r="O26" s="45">
        <v>44511</v>
      </c>
      <c r="P26" s="53" t="s">
        <v>74</v>
      </c>
      <c r="Q26" s="32" t="str">
        <f>VLOOKUP(N26,[1]Sheet1!$F$1:$H$126,3,0)</f>
        <v>预付+即期</v>
      </c>
      <c r="U26" s="32" t="s">
        <v>31</v>
      </c>
    </row>
    <row r="27" s="32" customFormat="1" spans="1:21">
      <c r="A27" s="44">
        <v>25</v>
      </c>
      <c r="B27" s="44"/>
      <c r="C27" s="44" t="s">
        <v>24</v>
      </c>
      <c r="D27" s="44"/>
      <c r="E27" s="45" t="s">
        <v>25</v>
      </c>
      <c r="F27" s="46" t="s">
        <v>75</v>
      </c>
      <c r="G27" s="54">
        <v>0.99</v>
      </c>
      <c r="H27" s="46">
        <v>200</v>
      </c>
      <c r="I27" s="47" t="s">
        <v>34</v>
      </c>
      <c r="J27" s="44"/>
      <c r="K27" s="48">
        <v>3500</v>
      </c>
      <c r="L27" s="49">
        <v>0.13</v>
      </c>
      <c r="M27" s="50">
        <f t="shared" si="0"/>
        <v>700000</v>
      </c>
      <c r="N27" s="46" t="s">
        <v>76</v>
      </c>
      <c r="O27" s="45">
        <v>44520</v>
      </c>
      <c r="P27" s="53" t="s">
        <v>77</v>
      </c>
      <c r="Q27" s="32" t="str">
        <f>VLOOKUP(N27,[1]Sheet1!$F$1:$H$126,3,0)</f>
        <v>即期</v>
      </c>
      <c r="U27" s="32" t="s">
        <v>31</v>
      </c>
    </row>
    <row r="28" s="32" customFormat="1" spans="1:21">
      <c r="A28" s="44">
        <v>26</v>
      </c>
      <c r="B28" s="44"/>
      <c r="C28" s="44" t="s">
        <v>24</v>
      </c>
      <c r="D28" s="44"/>
      <c r="E28" s="45" t="s">
        <v>25</v>
      </c>
      <c r="F28" s="46" t="s">
        <v>78</v>
      </c>
      <c r="G28" s="47" t="s">
        <v>79</v>
      </c>
      <c r="H28" s="46">
        <v>100</v>
      </c>
      <c r="I28" s="47" t="s">
        <v>34</v>
      </c>
      <c r="J28" s="44"/>
      <c r="K28" s="48">
        <v>5000</v>
      </c>
      <c r="L28" s="49">
        <v>0.13</v>
      </c>
      <c r="M28" s="50">
        <f t="shared" si="0"/>
        <v>500000</v>
      </c>
      <c r="N28" s="46" t="s">
        <v>76</v>
      </c>
      <c r="O28" s="45">
        <v>44520</v>
      </c>
      <c r="P28" s="53" t="s">
        <v>77</v>
      </c>
      <c r="Q28" s="32" t="str">
        <f>VLOOKUP(N28,[1]Sheet1!$F$1:$H$126,3,0)</f>
        <v>即期</v>
      </c>
      <c r="U28" s="32" t="s">
        <v>31</v>
      </c>
    </row>
    <row r="29" s="32" customFormat="1" spans="1:21">
      <c r="A29" s="44">
        <v>27</v>
      </c>
      <c r="B29" s="44"/>
      <c r="C29" s="44" t="s">
        <v>24</v>
      </c>
      <c r="D29" s="44"/>
      <c r="E29" s="45" t="s">
        <v>25</v>
      </c>
      <c r="F29" s="46" t="s">
        <v>80</v>
      </c>
      <c r="G29" s="54">
        <v>0.99</v>
      </c>
      <c r="H29" s="46">
        <v>3000</v>
      </c>
      <c r="I29" s="47" t="s">
        <v>34</v>
      </c>
      <c r="J29" s="44"/>
      <c r="K29" s="48">
        <v>200</v>
      </c>
      <c r="L29" s="49">
        <v>0.13</v>
      </c>
      <c r="M29" s="50">
        <f t="shared" si="0"/>
        <v>600000</v>
      </c>
      <c r="N29" s="46" t="s">
        <v>76</v>
      </c>
      <c r="O29" s="45">
        <v>44520</v>
      </c>
      <c r="P29" s="53" t="s">
        <v>77</v>
      </c>
      <c r="Q29" s="32" t="str">
        <f>VLOOKUP(N29,[1]Sheet1!$F$1:$H$126,3,0)</f>
        <v>即期</v>
      </c>
      <c r="U29" s="32" t="s">
        <v>31</v>
      </c>
    </row>
    <row r="30" s="32" customFormat="1" spans="1:21">
      <c r="A30" s="44">
        <v>28</v>
      </c>
      <c r="B30" s="44"/>
      <c r="C30" s="44" t="s">
        <v>24</v>
      </c>
      <c r="D30" s="44"/>
      <c r="E30" s="45" t="s">
        <v>25</v>
      </c>
      <c r="F30" s="46" t="s">
        <v>81</v>
      </c>
      <c r="G30" s="47" t="s">
        <v>82</v>
      </c>
      <c r="H30" s="46">
        <v>4</v>
      </c>
      <c r="I30" s="47" t="s">
        <v>62</v>
      </c>
      <c r="J30" s="44"/>
      <c r="K30" s="48">
        <v>200</v>
      </c>
      <c r="L30" s="49">
        <v>0.13</v>
      </c>
      <c r="M30" s="50">
        <f t="shared" si="0"/>
        <v>800</v>
      </c>
      <c r="N30" s="46" t="s">
        <v>73</v>
      </c>
      <c r="O30" s="45">
        <v>44550</v>
      </c>
      <c r="P30" s="53" t="s">
        <v>83</v>
      </c>
      <c r="Q30" s="32" t="str">
        <f>VLOOKUP(N30,[1]Sheet1!$F$1:$H$126,3,0)</f>
        <v>预付+即期</v>
      </c>
      <c r="U30" s="32" t="s">
        <v>31</v>
      </c>
    </row>
    <row r="31" s="32" customFormat="1" spans="1:21">
      <c r="A31" s="44">
        <v>29</v>
      </c>
      <c r="B31" s="44"/>
      <c r="C31" s="44" t="s">
        <v>24</v>
      </c>
      <c r="D31" s="44"/>
      <c r="E31" s="45" t="s">
        <v>25</v>
      </c>
      <c r="F31" s="46" t="s">
        <v>84</v>
      </c>
      <c r="G31" s="47"/>
      <c r="H31" s="46">
        <v>5</v>
      </c>
      <c r="I31" s="47" t="s">
        <v>62</v>
      </c>
      <c r="J31" s="44"/>
      <c r="K31" s="48">
        <v>900</v>
      </c>
      <c r="L31" s="49">
        <v>0.13</v>
      </c>
      <c r="M31" s="50">
        <f t="shared" si="0"/>
        <v>4500</v>
      </c>
      <c r="N31" s="46" t="s">
        <v>73</v>
      </c>
      <c r="O31" s="45">
        <v>44550</v>
      </c>
      <c r="P31" s="53" t="s">
        <v>83</v>
      </c>
      <c r="Q31" s="32" t="str">
        <f>VLOOKUP(N31,[1]Sheet1!$F$1:$H$126,3,0)</f>
        <v>预付+即期</v>
      </c>
      <c r="U31" s="32" t="s">
        <v>31</v>
      </c>
    </row>
    <row r="32" s="32" customFormat="1" spans="1:21">
      <c r="A32" s="44">
        <v>30</v>
      </c>
      <c r="B32" s="44"/>
      <c r="C32" s="44" t="s">
        <v>24</v>
      </c>
      <c r="D32" s="44"/>
      <c r="E32" s="45" t="s">
        <v>25</v>
      </c>
      <c r="F32" s="46" t="s">
        <v>85</v>
      </c>
      <c r="G32" s="47" t="s">
        <v>86</v>
      </c>
      <c r="H32" s="46">
        <v>50</v>
      </c>
      <c r="I32" s="47" t="s">
        <v>62</v>
      </c>
      <c r="J32" s="44"/>
      <c r="K32" s="48">
        <v>12</v>
      </c>
      <c r="L32" s="49">
        <v>0.13</v>
      </c>
      <c r="M32" s="50">
        <f t="shared" si="0"/>
        <v>600</v>
      </c>
      <c r="N32" s="46" t="s">
        <v>73</v>
      </c>
      <c r="O32" s="45">
        <v>44553</v>
      </c>
      <c r="P32" s="53" t="s">
        <v>87</v>
      </c>
      <c r="Q32" s="32" t="str">
        <f>VLOOKUP(N32,[1]Sheet1!$F$1:$H$126,3,0)</f>
        <v>预付+即期</v>
      </c>
      <c r="U32" s="32" t="s">
        <v>31</v>
      </c>
    </row>
    <row r="33" s="32" customFormat="1" spans="1:21">
      <c r="A33" s="44">
        <v>31</v>
      </c>
      <c r="B33" s="44"/>
      <c r="C33" s="44" t="s">
        <v>24</v>
      </c>
      <c r="D33" s="44"/>
      <c r="E33" s="45" t="s">
        <v>25</v>
      </c>
      <c r="F33" s="46" t="s">
        <v>84</v>
      </c>
      <c r="G33" s="47"/>
      <c r="H33" s="46">
        <v>1</v>
      </c>
      <c r="I33" s="47" t="s">
        <v>62</v>
      </c>
      <c r="J33" s="44"/>
      <c r="K33" s="48">
        <v>650</v>
      </c>
      <c r="L33" s="49">
        <v>0.13</v>
      </c>
      <c r="M33" s="50">
        <f t="shared" si="0"/>
        <v>650</v>
      </c>
      <c r="N33" s="46" t="s">
        <v>73</v>
      </c>
      <c r="O33" s="45">
        <v>44553</v>
      </c>
      <c r="P33" s="53" t="s">
        <v>87</v>
      </c>
      <c r="Q33" s="32" t="str">
        <f>VLOOKUP(N33,[1]Sheet1!$F$1:$H$126,3,0)</f>
        <v>预付+即期</v>
      </c>
      <c r="U33" s="32" t="s">
        <v>31</v>
      </c>
    </row>
    <row r="34" s="32" customFormat="1" spans="1:21">
      <c r="A34" s="44">
        <v>32</v>
      </c>
      <c r="B34" s="44"/>
      <c r="C34" s="44" t="s">
        <v>24</v>
      </c>
      <c r="D34" s="44"/>
      <c r="E34" s="45" t="s">
        <v>25</v>
      </c>
      <c r="F34" s="46" t="s">
        <v>81</v>
      </c>
      <c r="G34" s="47" t="s">
        <v>82</v>
      </c>
      <c r="H34" s="46">
        <v>20</v>
      </c>
      <c r="I34" s="47" t="s">
        <v>62</v>
      </c>
      <c r="J34" s="44"/>
      <c r="K34" s="48">
        <v>90</v>
      </c>
      <c r="L34" s="49">
        <v>0.13</v>
      </c>
      <c r="M34" s="50">
        <f t="shared" si="0"/>
        <v>1800</v>
      </c>
      <c r="N34" s="46" t="s">
        <v>73</v>
      </c>
      <c r="O34" s="45">
        <v>44601</v>
      </c>
      <c r="P34" s="53" t="s">
        <v>88</v>
      </c>
      <c r="Q34" s="32" t="str">
        <f>VLOOKUP(N34,[1]Sheet1!$F$1:$H$126,3,0)</f>
        <v>预付+即期</v>
      </c>
      <c r="U34" s="32" t="s">
        <v>31</v>
      </c>
    </row>
    <row r="35" s="32" customFormat="1" spans="1:21">
      <c r="A35" s="44">
        <v>33</v>
      </c>
      <c r="B35" s="44"/>
      <c r="C35" s="44" t="s">
        <v>24</v>
      </c>
      <c r="D35" s="44"/>
      <c r="E35" s="45" t="s">
        <v>25</v>
      </c>
      <c r="F35" s="46" t="s">
        <v>84</v>
      </c>
      <c r="G35" s="47"/>
      <c r="H35" s="46">
        <v>8</v>
      </c>
      <c r="I35" s="47" t="s">
        <v>62</v>
      </c>
      <c r="J35" s="44"/>
      <c r="K35" s="48">
        <v>775</v>
      </c>
      <c r="L35" s="49">
        <v>0.13</v>
      </c>
      <c r="M35" s="50">
        <f t="shared" si="0"/>
        <v>6200</v>
      </c>
      <c r="N35" s="46" t="s">
        <v>73</v>
      </c>
      <c r="O35" s="45">
        <v>44601</v>
      </c>
      <c r="P35" s="53" t="s">
        <v>88</v>
      </c>
      <c r="Q35" s="32" t="str">
        <f>VLOOKUP(N35,[1]Sheet1!$F$1:$H$126,3,0)</f>
        <v>预付+即期</v>
      </c>
      <c r="U35" s="32" t="s">
        <v>31</v>
      </c>
    </row>
    <row r="36" s="32" customFormat="1" spans="1:21">
      <c r="A36" s="44">
        <v>34</v>
      </c>
      <c r="B36" s="44"/>
      <c r="C36" s="44" t="s">
        <v>24</v>
      </c>
      <c r="D36" s="44"/>
      <c r="E36" s="45" t="s">
        <v>25</v>
      </c>
      <c r="F36" s="46" t="s">
        <v>75</v>
      </c>
      <c r="G36" s="54">
        <v>0.99</v>
      </c>
      <c r="H36" s="46">
        <v>200</v>
      </c>
      <c r="I36" s="47" t="s">
        <v>34</v>
      </c>
      <c r="J36" s="44"/>
      <c r="K36" s="48">
        <v>3500</v>
      </c>
      <c r="L36" s="49">
        <v>0.13</v>
      </c>
      <c r="M36" s="50">
        <f t="shared" ref="M36:M67" si="1">K36*H36</f>
        <v>700000</v>
      </c>
      <c r="N36" s="46" t="s">
        <v>76</v>
      </c>
      <c r="O36" s="45">
        <v>44657</v>
      </c>
      <c r="P36" s="53" t="s">
        <v>89</v>
      </c>
      <c r="Q36" s="32" t="str">
        <f>VLOOKUP(N36,[1]Sheet1!$F$1:$H$126,3,0)</f>
        <v>即期</v>
      </c>
      <c r="U36" s="32" t="s">
        <v>31</v>
      </c>
    </row>
    <row r="37" s="32" customFormat="1" spans="1:21">
      <c r="A37" s="44">
        <v>35</v>
      </c>
      <c r="B37" s="44"/>
      <c r="C37" s="44" t="s">
        <v>24</v>
      </c>
      <c r="D37" s="44"/>
      <c r="E37" s="45" t="s">
        <v>25</v>
      </c>
      <c r="F37" s="46" t="s">
        <v>78</v>
      </c>
      <c r="G37" s="47" t="s">
        <v>79</v>
      </c>
      <c r="H37" s="46">
        <v>100</v>
      </c>
      <c r="I37" s="47" t="s">
        <v>34</v>
      </c>
      <c r="J37" s="44"/>
      <c r="K37" s="48">
        <v>5000</v>
      </c>
      <c r="L37" s="49">
        <v>0.13</v>
      </c>
      <c r="M37" s="50">
        <f t="shared" si="1"/>
        <v>500000</v>
      </c>
      <c r="N37" s="46" t="s">
        <v>76</v>
      </c>
      <c r="O37" s="45">
        <v>44657</v>
      </c>
      <c r="P37" s="53" t="s">
        <v>89</v>
      </c>
      <c r="Q37" s="32" t="str">
        <f>VLOOKUP(N37,[1]Sheet1!$F$1:$H$126,3,0)</f>
        <v>即期</v>
      </c>
      <c r="U37" s="32" t="s">
        <v>31</v>
      </c>
    </row>
    <row r="38" s="32" customFormat="1" spans="1:21">
      <c r="A38" s="44">
        <v>36</v>
      </c>
      <c r="B38" s="44"/>
      <c r="C38" s="44" t="s">
        <v>24</v>
      </c>
      <c r="D38" s="44"/>
      <c r="E38" s="45" t="s">
        <v>25</v>
      </c>
      <c r="F38" s="46" t="s">
        <v>80</v>
      </c>
      <c r="G38" s="54">
        <v>0.99</v>
      </c>
      <c r="H38" s="46">
        <v>3000</v>
      </c>
      <c r="I38" s="47" t="s">
        <v>34</v>
      </c>
      <c r="J38" s="44"/>
      <c r="K38" s="48">
        <v>200</v>
      </c>
      <c r="L38" s="49">
        <v>0.13</v>
      </c>
      <c r="M38" s="50">
        <f t="shared" si="1"/>
        <v>600000</v>
      </c>
      <c r="N38" s="46" t="s">
        <v>76</v>
      </c>
      <c r="O38" s="45">
        <v>44657</v>
      </c>
      <c r="P38" s="53" t="s">
        <v>89</v>
      </c>
      <c r="Q38" s="32" t="str">
        <f>VLOOKUP(N38,[1]Sheet1!$F$1:$H$126,3,0)</f>
        <v>即期</v>
      </c>
      <c r="U38" s="32" t="s">
        <v>31</v>
      </c>
    </row>
    <row r="39" s="32" customFormat="1" spans="1:21">
      <c r="A39" s="44">
        <v>37</v>
      </c>
      <c r="B39" s="44"/>
      <c r="C39" s="44" t="s">
        <v>24</v>
      </c>
      <c r="D39" s="44"/>
      <c r="E39" s="45" t="s">
        <v>25</v>
      </c>
      <c r="F39" s="46" t="s">
        <v>32</v>
      </c>
      <c r="G39" s="47" t="s">
        <v>90</v>
      </c>
      <c r="H39" s="46">
        <v>2</v>
      </c>
      <c r="I39" s="47" t="s">
        <v>91</v>
      </c>
      <c r="J39" s="44"/>
      <c r="K39" s="48">
        <v>3300</v>
      </c>
      <c r="L39" s="49">
        <v>0.13</v>
      </c>
      <c r="M39" s="50">
        <f t="shared" si="1"/>
        <v>6600</v>
      </c>
      <c r="N39" s="46" t="s">
        <v>73</v>
      </c>
      <c r="O39" s="45">
        <v>44875</v>
      </c>
      <c r="P39" s="53" t="s">
        <v>92</v>
      </c>
      <c r="Q39" s="32" t="str">
        <f>VLOOKUP(N39,[1]Sheet1!$F$1:$H$126,3,0)</f>
        <v>预付+即期</v>
      </c>
      <c r="U39" s="32" t="s">
        <v>31</v>
      </c>
    </row>
    <row r="40" s="32" customFormat="1" spans="1:21">
      <c r="A40" s="44">
        <v>38</v>
      </c>
      <c r="B40" s="44"/>
      <c r="C40" s="44" t="s">
        <v>24</v>
      </c>
      <c r="D40" s="44"/>
      <c r="E40" s="45" t="s">
        <v>25</v>
      </c>
      <c r="F40" s="46" t="s">
        <v>93</v>
      </c>
      <c r="G40" s="47" t="s">
        <v>94</v>
      </c>
      <c r="H40" s="46">
        <v>10</v>
      </c>
      <c r="I40" s="47"/>
      <c r="J40" s="44"/>
      <c r="K40" s="48">
        <v>50</v>
      </c>
      <c r="L40" s="49">
        <v>0.13</v>
      </c>
      <c r="M40" s="50">
        <f t="shared" si="1"/>
        <v>500</v>
      </c>
      <c r="N40" s="46" t="s">
        <v>95</v>
      </c>
      <c r="O40" s="45">
        <v>44897</v>
      </c>
      <c r="P40" s="53" t="s">
        <v>96</v>
      </c>
      <c r="Q40" s="32" t="str">
        <f>VLOOKUP(N40,[1]Sheet1!$F$1:$H$126,3,0)</f>
        <v>预付</v>
      </c>
      <c r="U40" s="32" t="s">
        <v>31</v>
      </c>
    </row>
    <row r="41" s="32" customFormat="1" spans="1:21">
      <c r="A41" s="44">
        <v>39</v>
      </c>
      <c r="B41" s="44"/>
      <c r="C41" s="44" t="s">
        <v>24</v>
      </c>
      <c r="D41" s="44"/>
      <c r="E41" s="45" t="s">
        <v>25</v>
      </c>
      <c r="F41" s="46" t="s">
        <v>93</v>
      </c>
      <c r="G41" s="47" t="s">
        <v>97</v>
      </c>
      <c r="H41" s="46">
        <v>10</v>
      </c>
      <c r="I41" s="47"/>
      <c r="J41" s="44"/>
      <c r="K41" s="48">
        <v>55</v>
      </c>
      <c r="L41" s="49">
        <v>0.13</v>
      </c>
      <c r="M41" s="50">
        <f t="shared" si="1"/>
        <v>550</v>
      </c>
      <c r="N41" s="46" t="s">
        <v>95</v>
      </c>
      <c r="O41" s="45">
        <v>44897</v>
      </c>
      <c r="P41" s="53" t="s">
        <v>96</v>
      </c>
      <c r="Q41" s="32" t="str">
        <f>VLOOKUP(N41,[1]Sheet1!$F$1:$H$126,3,0)</f>
        <v>预付</v>
      </c>
      <c r="U41" s="32" t="s">
        <v>31</v>
      </c>
    </row>
    <row r="42" s="32" customFormat="1" spans="1:21">
      <c r="A42" s="44">
        <v>40</v>
      </c>
      <c r="B42" s="44"/>
      <c r="C42" s="44" t="s">
        <v>24</v>
      </c>
      <c r="D42" s="44"/>
      <c r="E42" s="45" t="s">
        <v>25</v>
      </c>
      <c r="F42" s="46" t="s">
        <v>98</v>
      </c>
      <c r="G42" s="47" t="s">
        <v>99</v>
      </c>
      <c r="H42" s="46">
        <v>321</v>
      </c>
      <c r="I42" s="47" t="s">
        <v>100</v>
      </c>
      <c r="J42" s="44"/>
      <c r="K42" s="48">
        <v>13.5</v>
      </c>
      <c r="L42" s="49">
        <v>0.13</v>
      </c>
      <c r="M42" s="50">
        <f t="shared" si="1"/>
        <v>4333.5</v>
      </c>
      <c r="N42" s="46" t="s">
        <v>101</v>
      </c>
      <c r="O42" s="45">
        <v>44914</v>
      </c>
      <c r="P42" s="53" t="s">
        <v>102</v>
      </c>
      <c r="Q42" s="32" t="str">
        <f>VLOOKUP(N42,[1]Sheet1!$F$1:$H$126,3,0)</f>
        <v>预付</v>
      </c>
      <c r="U42" s="32" t="s">
        <v>31</v>
      </c>
    </row>
    <row r="43" s="32" customFormat="1" spans="1:21">
      <c r="A43" s="44">
        <v>41</v>
      </c>
      <c r="B43" s="44"/>
      <c r="C43" s="44" t="s">
        <v>24</v>
      </c>
      <c r="D43" s="44"/>
      <c r="E43" s="45" t="s">
        <v>25</v>
      </c>
      <c r="F43" s="46" t="s">
        <v>103</v>
      </c>
      <c r="G43" s="47" t="s">
        <v>104</v>
      </c>
      <c r="H43" s="46">
        <v>80</v>
      </c>
      <c r="I43" s="47" t="s">
        <v>62</v>
      </c>
      <c r="J43" s="44"/>
      <c r="K43" s="48">
        <v>6.75</v>
      </c>
      <c r="L43" s="49">
        <v>0.13</v>
      </c>
      <c r="M43" s="50">
        <f t="shared" si="1"/>
        <v>540</v>
      </c>
      <c r="N43" s="46" t="s">
        <v>105</v>
      </c>
      <c r="O43" s="45">
        <v>44924</v>
      </c>
      <c r="P43" s="53" t="s">
        <v>106</v>
      </c>
      <c r="Q43" s="32" t="str">
        <f>VLOOKUP(N43,[1]Sheet1!$F$1:$H$126,3,0)</f>
        <v>预付</v>
      </c>
      <c r="U43" s="32" t="s">
        <v>31</v>
      </c>
    </row>
    <row r="44" s="32" customFormat="1" spans="1:21">
      <c r="A44" s="44">
        <v>42</v>
      </c>
      <c r="B44" s="44"/>
      <c r="C44" s="44" t="s">
        <v>24</v>
      </c>
      <c r="D44" s="44"/>
      <c r="E44" s="45" t="s">
        <v>25</v>
      </c>
      <c r="F44" s="46" t="s">
        <v>103</v>
      </c>
      <c r="G44" s="47" t="s">
        <v>104</v>
      </c>
      <c r="H44" s="46">
        <v>100</v>
      </c>
      <c r="I44" s="47" t="s">
        <v>62</v>
      </c>
      <c r="J44" s="44"/>
      <c r="K44" s="48">
        <v>6.75</v>
      </c>
      <c r="L44" s="49">
        <v>0.13</v>
      </c>
      <c r="M44" s="50">
        <f t="shared" si="1"/>
        <v>675</v>
      </c>
      <c r="N44" s="46" t="s">
        <v>107</v>
      </c>
      <c r="O44" s="45">
        <v>44960</v>
      </c>
      <c r="P44" s="53"/>
      <c r="Q44" s="32" t="str">
        <f>VLOOKUP(N44,[1]Sheet1!$F$1:$H$126,3,0)</f>
        <v>预付</v>
      </c>
      <c r="U44" s="32" t="s">
        <v>31</v>
      </c>
    </row>
    <row r="45" s="32" customFormat="1" spans="1:21">
      <c r="A45" s="44">
        <v>43</v>
      </c>
      <c r="B45" s="44"/>
      <c r="C45" s="44" t="s">
        <v>24</v>
      </c>
      <c r="D45" s="44"/>
      <c r="E45" s="45" t="s">
        <v>25</v>
      </c>
      <c r="F45" s="46" t="s">
        <v>108</v>
      </c>
      <c r="G45" s="47"/>
      <c r="H45" s="46"/>
      <c r="I45" s="47" t="s">
        <v>109</v>
      </c>
      <c r="J45" s="44"/>
      <c r="K45" s="48"/>
      <c r="L45" s="49">
        <v>0.13</v>
      </c>
      <c r="M45" s="50">
        <v>226.7</v>
      </c>
      <c r="N45" s="46" t="s">
        <v>110</v>
      </c>
      <c r="O45" s="45">
        <v>44965</v>
      </c>
      <c r="P45" s="53" t="s">
        <v>111</v>
      </c>
      <c r="Q45" s="32" t="str">
        <f>VLOOKUP(N45,[1]Sheet1!$F$1:$H$126,3,0)</f>
        <v>预付</v>
      </c>
      <c r="U45" s="32" t="s">
        <v>31</v>
      </c>
    </row>
    <row r="46" s="32" customFormat="1" spans="1:21">
      <c r="A46" s="44">
        <v>44</v>
      </c>
      <c r="B46" s="44"/>
      <c r="C46" s="44" t="s">
        <v>24</v>
      </c>
      <c r="D46" s="44"/>
      <c r="E46" s="45" t="s">
        <v>25</v>
      </c>
      <c r="F46" s="46" t="s">
        <v>32</v>
      </c>
      <c r="G46" s="47" t="s">
        <v>90</v>
      </c>
      <c r="H46" s="46">
        <v>1</v>
      </c>
      <c r="I46" s="47" t="s">
        <v>91</v>
      </c>
      <c r="J46" s="44"/>
      <c r="K46" s="48">
        <v>3200</v>
      </c>
      <c r="L46" s="49">
        <v>0.13</v>
      </c>
      <c r="M46" s="50">
        <f t="shared" si="1"/>
        <v>3200</v>
      </c>
      <c r="N46" s="46" t="s">
        <v>73</v>
      </c>
      <c r="O46" s="45">
        <v>44972</v>
      </c>
      <c r="P46" s="53" t="s">
        <v>112</v>
      </c>
      <c r="Q46" s="32" t="str">
        <f>VLOOKUP(N46,[1]Sheet1!$F$1:$H$126,3,0)</f>
        <v>预付+即期</v>
      </c>
      <c r="U46" s="32" t="s">
        <v>31</v>
      </c>
    </row>
    <row r="47" s="32" customFormat="1" spans="1:21">
      <c r="A47" s="44">
        <v>45</v>
      </c>
      <c r="B47" s="44"/>
      <c r="C47" s="44" t="s">
        <v>24</v>
      </c>
      <c r="D47" s="44"/>
      <c r="E47" s="45" t="s">
        <v>25</v>
      </c>
      <c r="F47" s="46" t="s">
        <v>113</v>
      </c>
      <c r="G47" s="47" t="s">
        <v>114</v>
      </c>
      <c r="H47" s="46">
        <v>10000</v>
      </c>
      <c r="I47" s="47"/>
      <c r="J47" s="44"/>
      <c r="K47" s="48">
        <v>0.045</v>
      </c>
      <c r="L47" s="49">
        <v>0.13</v>
      </c>
      <c r="M47" s="50">
        <f t="shared" si="1"/>
        <v>450</v>
      </c>
      <c r="N47" s="46" t="s">
        <v>115</v>
      </c>
      <c r="O47" s="45">
        <v>45129</v>
      </c>
      <c r="P47" s="53"/>
      <c r="Q47" s="32" t="str">
        <f>VLOOKUP(N47,[1]Sheet1!$F$1:$H$126,3,0)</f>
        <v>月结30天</v>
      </c>
      <c r="U47" s="32" t="s">
        <v>31</v>
      </c>
    </row>
    <row r="48" s="32" customFormat="1" spans="1:21">
      <c r="A48" s="44">
        <v>46</v>
      </c>
      <c r="B48" s="44"/>
      <c r="C48" s="44" t="s">
        <v>24</v>
      </c>
      <c r="D48" s="44"/>
      <c r="E48" s="45" t="s">
        <v>25</v>
      </c>
      <c r="F48" s="46" t="s">
        <v>116</v>
      </c>
      <c r="G48" s="47" t="s">
        <v>117</v>
      </c>
      <c r="H48" s="46">
        <v>325</v>
      </c>
      <c r="I48" s="47" t="s">
        <v>34</v>
      </c>
      <c r="J48" s="44"/>
      <c r="K48" s="48">
        <v>4000</v>
      </c>
      <c r="L48" s="49">
        <v>0.13</v>
      </c>
      <c r="M48" s="50">
        <f t="shared" si="1"/>
        <v>1300000</v>
      </c>
      <c r="N48" s="46" t="s">
        <v>118</v>
      </c>
      <c r="O48" s="45">
        <v>45261</v>
      </c>
      <c r="P48" s="53" t="s">
        <v>119</v>
      </c>
      <c r="Q48" s="32" t="str">
        <f>VLOOKUP(N48,[1]Sheet1!$F$1:$H$126,3,0)</f>
        <v>预付</v>
      </c>
      <c r="U48" s="32" t="s">
        <v>31</v>
      </c>
    </row>
    <row r="49" s="32" customFormat="1" spans="1:21">
      <c r="A49" s="44">
        <v>47</v>
      </c>
      <c r="B49" s="44"/>
      <c r="C49" s="44" t="s">
        <v>24</v>
      </c>
      <c r="D49" s="44"/>
      <c r="E49" s="45" t="s">
        <v>25</v>
      </c>
      <c r="F49" s="46" t="s">
        <v>32</v>
      </c>
      <c r="G49" s="47" t="s">
        <v>90</v>
      </c>
      <c r="H49" s="46">
        <v>1</v>
      </c>
      <c r="I49" s="47" t="s">
        <v>91</v>
      </c>
      <c r="J49" s="44"/>
      <c r="K49" s="48">
        <v>3400</v>
      </c>
      <c r="L49" s="49">
        <v>0.13</v>
      </c>
      <c r="M49" s="50">
        <f t="shared" si="1"/>
        <v>3400</v>
      </c>
      <c r="N49" s="46" t="s">
        <v>73</v>
      </c>
      <c r="O49" s="45">
        <v>45279</v>
      </c>
      <c r="P49" s="53" t="s">
        <v>112</v>
      </c>
      <c r="Q49" s="32" t="str">
        <f>VLOOKUP(N49,[1]Sheet1!$F$1:$H$126,3,0)</f>
        <v>预付+即期</v>
      </c>
      <c r="U49" s="32" t="s">
        <v>31</v>
      </c>
    </row>
    <row r="50" s="32" customFormat="1" spans="1:21">
      <c r="A50" s="44">
        <v>48</v>
      </c>
      <c r="B50" s="44"/>
      <c r="C50" s="44" t="s">
        <v>24</v>
      </c>
      <c r="D50" s="44"/>
      <c r="E50" s="45" t="s">
        <v>25</v>
      </c>
      <c r="F50" s="46" t="s">
        <v>120</v>
      </c>
      <c r="G50" s="55">
        <v>0.99999</v>
      </c>
      <c r="H50" s="46">
        <v>1</v>
      </c>
      <c r="I50" s="47" t="s">
        <v>121</v>
      </c>
      <c r="J50" s="44"/>
      <c r="K50" s="48">
        <v>88.5</v>
      </c>
      <c r="L50" s="49">
        <v>0.13</v>
      </c>
      <c r="M50" s="50">
        <f t="shared" si="1"/>
        <v>88.5</v>
      </c>
      <c r="N50" s="46" t="s">
        <v>122</v>
      </c>
      <c r="O50" s="45">
        <v>45383</v>
      </c>
      <c r="P50" s="53"/>
      <c r="Q50" s="32" t="str">
        <f>VLOOKUP(N50,[1]Sheet1!$F$1:$H$126,3,0)</f>
        <v>即期</v>
      </c>
      <c r="U50" s="32" t="s">
        <v>31</v>
      </c>
    </row>
    <row r="51" s="32" customFormat="1" spans="1:21">
      <c r="A51" s="44">
        <v>49</v>
      </c>
      <c r="B51" s="44"/>
      <c r="C51" s="44" t="s">
        <v>24</v>
      </c>
      <c r="D51" s="44"/>
      <c r="E51" s="45" t="s">
        <v>25</v>
      </c>
      <c r="F51" s="46" t="s">
        <v>123</v>
      </c>
      <c r="G51" s="47"/>
      <c r="H51" s="46">
        <v>1</v>
      </c>
      <c r="I51" s="47" t="s">
        <v>124</v>
      </c>
      <c r="J51" s="44"/>
      <c r="K51" s="48">
        <v>55.04</v>
      </c>
      <c r="L51" s="49">
        <v>0.13</v>
      </c>
      <c r="M51" s="50">
        <f t="shared" si="1"/>
        <v>55.04</v>
      </c>
      <c r="N51" s="46" t="s">
        <v>122</v>
      </c>
      <c r="O51" s="45">
        <v>45383</v>
      </c>
      <c r="P51" s="53"/>
      <c r="Q51" s="32" t="str">
        <f>VLOOKUP(N51,[1]Sheet1!$F$1:$H$126,3,0)</f>
        <v>即期</v>
      </c>
      <c r="U51" s="32" t="s">
        <v>31</v>
      </c>
    </row>
    <row r="52" s="32" customFormat="1" spans="1:21">
      <c r="A52" s="44">
        <v>50</v>
      </c>
      <c r="B52" s="44"/>
      <c r="C52" s="44" t="s">
        <v>24</v>
      </c>
      <c r="D52" s="44"/>
      <c r="E52" s="45" t="s">
        <v>25</v>
      </c>
      <c r="F52" s="46" t="s">
        <v>125</v>
      </c>
      <c r="G52" s="47" t="s">
        <v>126</v>
      </c>
      <c r="H52" s="46">
        <v>5</v>
      </c>
      <c r="I52" s="47" t="s">
        <v>109</v>
      </c>
      <c r="J52" s="44"/>
      <c r="K52" s="48">
        <v>56.5</v>
      </c>
      <c r="L52" s="49">
        <v>0.13</v>
      </c>
      <c r="M52" s="50">
        <f t="shared" si="1"/>
        <v>282.5</v>
      </c>
      <c r="N52" s="46" t="s">
        <v>127</v>
      </c>
      <c r="O52" s="45">
        <v>45440</v>
      </c>
      <c r="P52" s="53" t="s">
        <v>128</v>
      </c>
      <c r="Q52" s="32" t="str">
        <f>VLOOKUP(N52,[1]Sheet1!$F$1:$H$126,3,0)</f>
        <v>预付</v>
      </c>
      <c r="U52" s="32" t="s">
        <v>31</v>
      </c>
    </row>
    <row r="53" s="32" customFormat="1" spans="1:21">
      <c r="A53" s="44">
        <v>51</v>
      </c>
      <c r="B53" s="44"/>
      <c r="C53" s="44" t="s">
        <v>24</v>
      </c>
      <c r="D53" s="44"/>
      <c r="E53" s="45" t="s">
        <v>129</v>
      </c>
      <c r="F53" s="46" t="s">
        <v>130</v>
      </c>
      <c r="G53" s="47"/>
      <c r="H53" s="46">
        <v>300</v>
      </c>
      <c r="I53" s="47" t="s">
        <v>131</v>
      </c>
      <c r="J53" s="44"/>
      <c r="K53" s="48">
        <v>1000</v>
      </c>
      <c r="L53" s="49">
        <v>0.13</v>
      </c>
      <c r="M53" s="50">
        <f t="shared" si="1"/>
        <v>300000</v>
      </c>
      <c r="N53" s="46" t="s">
        <v>132</v>
      </c>
      <c r="O53" s="45">
        <v>45471</v>
      </c>
      <c r="P53" s="53"/>
      <c r="Q53" s="32" t="str">
        <f>VLOOKUP(N53,[1]Sheet1!$F$1:$H$126,3,0)</f>
        <v>预付</v>
      </c>
      <c r="U53" s="32" t="s">
        <v>31</v>
      </c>
    </row>
    <row r="54" s="32" customFormat="1" spans="1:21">
      <c r="A54" s="44">
        <v>52</v>
      </c>
      <c r="B54" s="44"/>
      <c r="C54" s="44" t="s">
        <v>24</v>
      </c>
      <c r="D54" s="44"/>
      <c r="E54" s="45" t="s">
        <v>25</v>
      </c>
      <c r="F54" s="46" t="s">
        <v>133</v>
      </c>
      <c r="G54" s="47" t="s">
        <v>134</v>
      </c>
      <c r="H54" s="46">
        <v>5</v>
      </c>
      <c r="I54" s="47" t="s">
        <v>109</v>
      </c>
      <c r="J54" s="44"/>
      <c r="K54" s="48">
        <v>300</v>
      </c>
      <c r="L54" s="49">
        <v>0.13</v>
      </c>
      <c r="M54" s="50">
        <f t="shared" si="1"/>
        <v>1500</v>
      </c>
      <c r="N54" s="46" t="s">
        <v>127</v>
      </c>
      <c r="O54" s="45">
        <v>45478</v>
      </c>
      <c r="P54" s="53" t="s">
        <v>135</v>
      </c>
      <c r="Q54" s="32" t="str">
        <f>VLOOKUP(N54,[1]Sheet1!$F$1:$H$126,3,0)</f>
        <v>预付</v>
      </c>
      <c r="U54" s="32" t="s">
        <v>31</v>
      </c>
    </row>
    <row r="55" s="32" customFormat="1" spans="1:21">
      <c r="A55" s="44">
        <v>53</v>
      </c>
      <c r="B55" s="44"/>
      <c r="C55" s="44" t="s">
        <v>24</v>
      </c>
      <c r="D55" s="44"/>
      <c r="E55" s="45" t="s">
        <v>25</v>
      </c>
      <c r="F55" s="46" t="s">
        <v>136</v>
      </c>
      <c r="G55" s="47" t="s">
        <v>137</v>
      </c>
      <c r="H55" s="46">
        <v>5</v>
      </c>
      <c r="I55" s="47" t="s">
        <v>109</v>
      </c>
      <c r="J55" s="44"/>
      <c r="K55" s="48">
        <v>20</v>
      </c>
      <c r="L55" s="49">
        <v>0.13</v>
      </c>
      <c r="M55" s="50">
        <f t="shared" si="1"/>
        <v>100</v>
      </c>
      <c r="N55" s="46" t="s">
        <v>127</v>
      </c>
      <c r="O55" s="45">
        <v>45478</v>
      </c>
      <c r="P55" s="53" t="s">
        <v>135</v>
      </c>
      <c r="Q55" s="32" t="str">
        <f>VLOOKUP(N55,[1]Sheet1!$F$1:$H$126,3,0)</f>
        <v>预付</v>
      </c>
      <c r="U55" s="32" t="s">
        <v>31</v>
      </c>
    </row>
    <row r="56" s="32" customFormat="1" spans="1:21">
      <c r="A56" s="44">
        <v>54</v>
      </c>
      <c r="B56" s="44"/>
      <c r="C56" s="44" t="s">
        <v>24</v>
      </c>
      <c r="D56" s="44"/>
      <c r="E56" s="45" t="s">
        <v>25</v>
      </c>
      <c r="F56" s="46" t="s">
        <v>138</v>
      </c>
      <c r="G56" s="47" t="s">
        <v>126</v>
      </c>
      <c r="H56" s="46">
        <v>3</v>
      </c>
      <c r="I56" s="47" t="s">
        <v>109</v>
      </c>
      <c r="J56" s="44"/>
      <c r="K56" s="48">
        <v>56.5</v>
      </c>
      <c r="L56" s="49">
        <v>0.13</v>
      </c>
      <c r="M56" s="50">
        <f t="shared" si="1"/>
        <v>169.5</v>
      </c>
      <c r="N56" s="46" t="s">
        <v>127</v>
      </c>
      <c r="O56" s="45">
        <v>45478</v>
      </c>
      <c r="P56" s="53" t="s">
        <v>135</v>
      </c>
      <c r="Q56" s="32" t="str">
        <f>VLOOKUP(N56,[1]Sheet1!$F$1:$H$126,3,0)</f>
        <v>预付</v>
      </c>
      <c r="U56" s="32" t="s">
        <v>31</v>
      </c>
    </row>
    <row r="57" s="32" customFormat="1" spans="1:21">
      <c r="A57" s="44">
        <v>55</v>
      </c>
      <c r="B57" s="44"/>
      <c r="C57" s="44" t="s">
        <v>24</v>
      </c>
      <c r="D57" s="44"/>
      <c r="E57" s="45" t="s">
        <v>25</v>
      </c>
      <c r="F57" s="46" t="s">
        <v>139</v>
      </c>
      <c r="G57" s="47" t="s">
        <v>140</v>
      </c>
      <c r="H57" s="46">
        <v>280</v>
      </c>
      <c r="I57" s="47" t="s">
        <v>109</v>
      </c>
      <c r="J57" s="44"/>
      <c r="K57" s="48">
        <v>7.5</v>
      </c>
      <c r="L57" s="49">
        <v>0.13</v>
      </c>
      <c r="M57" s="50">
        <f t="shared" si="1"/>
        <v>2100</v>
      </c>
      <c r="N57" s="46" t="s">
        <v>141</v>
      </c>
      <c r="O57" s="45">
        <v>45488</v>
      </c>
      <c r="P57" s="53" t="s">
        <v>142</v>
      </c>
      <c r="Q57" s="32" t="str">
        <f>VLOOKUP(N57,[1]Sheet1!$F$1:$H$126,3,0)</f>
        <v>预付</v>
      </c>
      <c r="U57" s="32" t="s">
        <v>31</v>
      </c>
    </row>
    <row r="58" s="32" customFormat="1" spans="1:21">
      <c r="A58" s="44">
        <v>56</v>
      </c>
      <c r="B58" s="44"/>
      <c r="C58" s="44" t="s">
        <v>24</v>
      </c>
      <c r="D58" s="44"/>
      <c r="E58" s="45" t="s">
        <v>25</v>
      </c>
      <c r="F58" s="46" t="s">
        <v>143</v>
      </c>
      <c r="G58" s="47" t="s">
        <v>144</v>
      </c>
      <c r="H58" s="46">
        <v>104</v>
      </c>
      <c r="I58" s="47" t="s">
        <v>52</v>
      </c>
      <c r="J58" s="44"/>
      <c r="K58" s="48">
        <v>20</v>
      </c>
      <c r="L58" s="49">
        <v>0.13</v>
      </c>
      <c r="M58" s="50">
        <f t="shared" si="1"/>
        <v>2080</v>
      </c>
      <c r="N58" s="46" t="s">
        <v>145</v>
      </c>
      <c r="O58" s="45">
        <v>45498</v>
      </c>
      <c r="P58" s="53" t="s">
        <v>146</v>
      </c>
      <c r="Q58" s="32" t="str">
        <f>VLOOKUP(N58,[1]Sheet1!$F$1:$H$126,3,0)</f>
        <v>预付</v>
      </c>
      <c r="U58" s="32" t="s">
        <v>31</v>
      </c>
    </row>
    <row r="59" s="32" customFormat="1" spans="1:21">
      <c r="A59" s="44">
        <v>57</v>
      </c>
      <c r="B59" s="44"/>
      <c r="C59" s="44" t="s">
        <v>24</v>
      </c>
      <c r="D59" s="44"/>
      <c r="E59" s="45" t="s">
        <v>25</v>
      </c>
      <c r="F59" s="46" t="s">
        <v>147</v>
      </c>
      <c r="G59" s="56" t="s">
        <v>148</v>
      </c>
      <c r="H59" s="46">
        <v>1</v>
      </c>
      <c r="I59" s="47" t="s">
        <v>58</v>
      </c>
      <c r="J59" s="44"/>
      <c r="K59" s="48">
        <v>860</v>
      </c>
      <c r="L59" s="49">
        <v>0.13</v>
      </c>
      <c r="M59" s="50">
        <f t="shared" si="1"/>
        <v>860</v>
      </c>
      <c r="N59" s="46" t="s">
        <v>149</v>
      </c>
      <c r="O59" s="45">
        <v>45504</v>
      </c>
      <c r="P59" s="46" t="s">
        <v>150</v>
      </c>
      <c r="Q59" s="32" t="str">
        <f>VLOOKUP(N59,[1]Sheet1!$F$1:$H$126,3,0)</f>
        <v>现金</v>
      </c>
      <c r="U59" s="32" t="s">
        <v>31</v>
      </c>
    </row>
    <row r="60" s="32" customFormat="1" spans="1:21">
      <c r="A60" s="44">
        <v>58</v>
      </c>
      <c r="B60" s="44"/>
      <c r="C60" s="44" t="s">
        <v>24</v>
      </c>
      <c r="D60" s="44"/>
      <c r="E60" s="45" t="s">
        <v>129</v>
      </c>
      <c r="F60" s="46" t="s">
        <v>151</v>
      </c>
      <c r="G60" s="47" t="s">
        <v>152</v>
      </c>
      <c r="H60" s="46">
        <v>1</v>
      </c>
      <c r="I60" s="47" t="s">
        <v>153</v>
      </c>
      <c r="J60" s="44"/>
      <c r="K60" s="48">
        <v>1864.5</v>
      </c>
      <c r="L60" s="49">
        <v>0.13</v>
      </c>
      <c r="M60" s="50">
        <f t="shared" si="1"/>
        <v>1864.5</v>
      </c>
      <c r="N60" s="46" t="s">
        <v>154</v>
      </c>
      <c r="O60" s="45">
        <v>45505</v>
      </c>
      <c r="P60" s="53" t="s">
        <v>155</v>
      </c>
      <c r="Q60" s="32" t="str">
        <f>VLOOKUP(N60,[1]Sheet1!$F$1:$H$126,3,0)</f>
        <v>即期</v>
      </c>
      <c r="U60" s="32" t="s">
        <v>31</v>
      </c>
    </row>
    <row r="61" s="32" customFormat="1" spans="1:21">
      <c r="A61" s="44">
        <v>59</v>
      </c>
      <c r="B61" s="44"/>
      <c r="C61" s="44" t="s">
        <v>24</v>
      </c>
      <c r="D61" s="44"/>
      <c r="E61" s="45" t="s">
        <v>129</v>
      </c>
      <c r="F61" s="46" t="s">
        <v>156</v>
      </c>
      <c r="G61" s="47" t="s">
        <v>157</v>
      </c>
      <c r="H61" s="46">
        <v>1</v>
      </c>
      <c r="I61" s="47" t="s">
        <v>153</v>
      </c>
      <c r="J61" s="44"/>
      <c r="K61" s="48">
        <v>542.4</v>
      </c>
      <c r="L61" s="49">
        <v>0.13</v>
      </c>
      <c r="M61" s="50">
        <f t="shared" si="1"/>
        <v>542.4</v>
      </c>
      <c r="N61" s="46" t="s">
        <v>154</v>
      </c>
      <c r="O61" s="45">
        <v>45505</v>
      </c>
      <c r="P61" s="53" t="s">
        <v>155</v>
      </c>
      <c r="Q61" s="32" t="str">
        <f>VLOOKUP(N61,[1]Sheet1!$F$1:$H$126,3,0)</f>
        <v>即期</v>
      </c>
      <c r="U61" s="32" t="s">
        <v>31</v>
      </c>
    </row>
    <row r="62" s="32" customFormat="1" spans="1:21">
      <c r="A62" s="44">
        <v>60</v>
      </c>
      <c r="B62" s="44"/>
      <c r="C62" s="44" t="s">
        <v>24</v>
      </c>
      <c r="D62" s="44"/>
      <c r="E62" s="45" t="s">
        <v>129</v>
      </c>
      <c r="F62" s="46" t="s">
        <v>158</v>
      </c>
      <c r="G62" s="47"/>
      <c r="H62" s="46">
        <v>1</v>
      </c>
      <c r="I62" s="47" t="s">
        <v>159</v>
      </c>
      <c r="J62" s="44"/>
      <c r="K62" s="48">
        <v>1780</v>
      </c>
      <c r="L62" s="49">
        <v>0.13</v>
      </c>
      <c r="M62" s="50">
        <f t="shared" si="1"/>
        <v>1780</v>
      </c>
      <c r="N62" s="46" t="s">
        <v>160</v>
      </c>
      <c r="O62" s="45">
        <v>45516</v>
      </c>
      <c r="P62" s="53"/>
      <c r="Q62" s="32" t="str">
        <f>VLOOKUP(N62,[1]Sheet1!$F$1:$H$126,3,0)</f>
        <v>即期</v>
      </c>
      <c r="U62" s="32" t="s">
        <v>31</v>
      </c>
    </row>
    <row r="63" s="32" customFormat="1" spans="1:21">
      <c r="A63" s="44">
        <v>61</v>
      </c>
      <c r="B63" s="44"/>
      <c r="C63" s="44" t="s">
        <v>24</v>
      </c>
      <c r="D63" s="44"/>
      <c r="E63" s="45" t="s">
        <v>129</v>
      </c>
      <c r="F63" s="46" t="s">
        <v>161</v>
      </c>
      <c r="G63" s="47" t="s">
        <v>162</v>
      </c>
      <c r="H63" s="46">
        <v>10</v>
      </c>
      <c r="I63" s="47" t="s">
        <v>34</v>
      </c>
      <c r="J63" s="44"/>
      <c r="K63" s="48">
        <v>250</v>
      </c>
      <c r="L63" s="49">
        <v>0.13</v>
      </c>
      <c r="M63" s="50">
        <f t="shared" si="1"/>
        <v>2500</v>
      </c>
      <c r="N63" s="46" t="s">
        <v>163</v>
      </c>
      <c r="O63" s="45">
        <v>45546</v>
      </c>
      <c r="P63" s="53" t="s">
        <v>164</v>
      </c>
      <c r="Q63" s="32" t="str">
        <f>VLOOKUP(N63,[1]Sheet1!$F$1:$H$126,3,0)</f>
        <v>预付</v>
      </c>
      <c r="U63" s="32" t="s">
        <v>31</v>
      </c>
    </row>
    <row r="64" s="32" customFormat="1" spans="1:21">
      <c r="A64" s="44">
        <v>62</v>
      </c>
      <c r="B64" s="44"/>
      <c r="C64" s="44" t="s">
        <v>24</v>
      </c>
      <c r="D64" s="44"/>
      <c r="E64" s="45" t="s">
        <v>129</v>
      </c>
      <c r="F64" s="46" t="s">
        <v>165</v>
      </c>
      <c r="G64" s="47" t="s">
        <v>166</v>
      </c>
      <c r="H64" s="46">
        <v>25</v>
      </c>
      <c r="I64" s="47" t="s">
        <v>58</v>
      </c>
      <c r="J64" s="44"/>
      <c r="K64" s="48">
        <v>30</v>
      </c>
      <c r="L64" s="49">
        <v>0.13</v>
      </c>
      <c r="M64" s="50">
        <f t="shared" si="1"/>
        <v>750</v>
      </c>
      <c r="N64" s="46" t="s">
        <v>167</v>
      </c>
      <c r="O64" s="45">
        <v>45547</v>
      </c>
      <c r="P64" s="53" t="s">
        <v>168</v>
      </c>
      <c r="Q64" s="32" t="str">
        <f>VLOOKUP(N64,[1]Sheet1!$F$1:$H$126,3,0)</f>
        <v>预付</v>
      </c>
      <c r="U64" s="32" t="s">
        <v>31</v>
      </c>
    </row>
    <row r="65" s="32" customFormat="1" spans="1:21">
      <c r="A65" s="44">
        <v>63</v>
      </c>
      <c r="B65" s="44"/>
      <c r="C65" s="44" t="s">
        <v>24</v>
      </c>
      <c r="D65" s="44"/>
      <c r="E65" s="45" t="s">
        <v>129</v>
      </c>
      <c r="F65" s="46" t="s">
        <v>143</v>
      </c>
      <c r="G65" s="47" t="s">
        <v>169</v>
      </c>
      <c r="H65" s="46">
        <v>52</v>
      </c>
      <c r="I65" s="47" t="s">
        <v>52</v>
      </c>
      <c r="J65" s="44"/>
      <c r="K65" s="48">
        <v>40</v>
      </c>
      <c r="L65" s="49">
        <v>0.13</v>
      </c>
      <c r="M65" s="50">
        <f t="shared" si="1"/>
        <v>2080</v>
      </c>
      <c r="N65" s="46" t="s">
        <v>145</v>
      </c>
      <c r="O65" s="45">
        <v>45580</v>
      </c>
      <c r="P65" s="53" t="s">
        <v>170</v>
      </c>
      <c r="Q65" s="32" t="str">
        <f>VLOOKUP(N65,[1]Sheet1!$F$1:$H$126,3,0)</f>
        <v>预付</v>
      </c>
      <c r="U65" s="32" t="s">
        <v>31</v>
      </c>
    </row>
    <row r="66" s="32" customFormat="1" spans="1:21">
      <c r="A66" s="44">
        <v>64</v>
      </c>
      <c r="B66" s="44"/>
      <c r="C66" s="44" t="s">
        <v>24</v>
      </c>
      <c r="D66" s="44"/>
      <c r="E66" s="45" t="s">
        <v>129</v>
      </c>
      <c r="F66" s="46" t="s">
        <v>32</v>
      </c>
      <c r="G66" s="47" t="s">
        <v>90</v>
      </c>
      <c r="H66" s="46">
        <v>1</v>
      </c>
      <c r="I66" s="47" t="s">
        <v>91</v>
      </c>
      <c r="J66" s="44"/>
      <c r="K66" s="48">
        <v>4500</v>
      </c>
      <c r="L66" s="49">
        <v>0.13</v>
      </c>
      <c r="M66" s="50">
        <f t="shared" si="1"/>
        <v>4500</v>
      </c>
      <c r="N66" s="46" t="s">
        <v>73</v>
      </c>
      <c r="O66" s="45">
        <v>45609</v>
      </c>
      <c r="P66" s="53" t="s">
        <v>171</v>
      </c>
      <c r="Q66" s="32" t="str">
        <f>VLOOKUP(N66,[1]Sheet1!$F$1:$H$126,3,0)</f>
        <v>预付+即期</v>
      </c>
      <c r="U66" s="32" t="s">
        <v>31</v>
      </c>
    </row>
    <row r="67" s="32" customFormat="1" spans="1:21">
      <c r="A67" s="44">
        <v>65</v>
      </c>
      <c r="B67" s="44"/>
      <c r="C67" s="44" t="s">
        <v>24</v>
      </c>
      <c r="D67" s="44"/>
      <c r="E67" s="45" t="s">
        <v>129</v>
      </c>
      <c r="F67" s="46" t="s">
        <v>172</v>
      </c>
      <c r="G67" s="47" t="s">
        <v>173</v>
      </c>
      <c r="H67" s="46">
        <v>2</v>
      </c>
      <c r="I67" s="47" t="s">
        <v>174</v>
      </c>
      <c r="J67" s="44"/>
      <c r="K67" s="48">
        <v>580</v>
      </c>
      <c r="L67" s="49">
        <v>0.13</v>
      </c>
      <c r="M67" s="50">
        <f t="shared" si="1"/>
        <v>1160</v>
      </c>
      <c r="N67" s="46" t="s">
        <v>175</v>
      </c>
      <c r="O67" s="45">
        <v>45611</v>
      </c>
      <c r="P67" s="53"/>
      <c r="Q67" s="32" t="str">
        <f>VLOOKUP(N67,[1]Sheet1!$F$1:$H$126,3,0)</f>
        <v>预付</v>
      </c>
      <c r="U67" s="32" t="s">
        <v>31</v>
      </c>
    </row>
    <row r="68" s="32" customFormat="1" spans="1:21">
      <c r="A68" s="44">
        <v>66</v>
      </c>
      <c r="B68" s="44"/>
      <c r="C68" s="44" t="s">
        <v>24</v>
      </c>
      <c r="D68" s="44"/>
      <c r="E68" s="45" t="s">
        <v>129</v>
      </c>
      <c r="F68" s="46" t="s">
        <v>176</v>
      </c>
      <c r="G68" s="47" t="s">
        <v>177</v>
      </c>
      <c r="H68" s="46">
        <v>160</v>
      </c>
      <c r="I68" s="47" t="s">
        <v>109</v>
      </c>
      <c r="J68" s="44"/>
      <c r="K68" s="48">
        <v>1.9</v>
      </c>
      <c r="L68" s="49">
        <v>0.13</v>
      </c>
      <c r="M68" s="50">
        <f t="shared" ref="M68:M118" si="2">K68*H68</f>
        <v>304</v>
      </c>
      <c r="N68" s="46" t="s">
        <v>127</v>
      </c>
      <c r="O68" s="45">
        <v>45623</v>
      </c>
      <c r="P68" s="53" t="s">
        <v>178</v>
      </c>
      <c r="Q68" s="32" t="str">
        <f>VLOOKUP(N68,[1]Sheet1!$F$1:$H$126,3,0)</f>
        <v>预付</v>
      </c>
      <c r="U68" s="32" t="s">
        <v>31</v>
      </c>
    </row>
    <row r="69" s="32" customFormat="1" spans="1:21">
      <c r="A69" s="44">
        <v>67</v>
      </c>
      <c r="B69" s="44"/>
      <c r="C69" s="44" t="s">
        <v>24</v>
      </c>
      <c r="D69" s="44"/>
      <c r="E69" s="45" t="s">
        <v>129</v>
      </c>
      <c r="F69" s="46" t="s">
        <v>179</v>
      </c>
      <c r="G69" s="47" t="s">
        <v>180</v>
      </c>
      <c r="H69" s="46">
        <v>20</v>
      </c>
      <c r="I69" s="47" t="s">
        <v>109</v>
      </c>
      <c r="J69" s="44"/>
      <c r="K69" s="48">
        <v>5</v>
      </c>
      <c r="L69" s="49">
        <v>0.13</v>
      </c>
      <c r="M69" s="50">
        <f t="shared" si="2"/>
        <v>100</v>
      </c>
      <c r="N69" s="46" t="s">
        <v>127</v>
      </c>
      <c r="O69" s="45">
        <v>45623</v>
      </c>
      <c r="P69" s="53" t="s">
        <v>178</v>
      </c>
      <c r="Q69" s="32" t="str">
        <f>VLOOKUP(N69,[1]Sheet1!$F$1:$H$126,3,0)</f>
        <v>预付</v>
      </c>
      <c r="U69" s="32" t="s">
        <v>31</v>
      </c>
    </row>
    <row r="70" s="32" customFormat="1" spans="1:21">
      <c r="A70" s="44">
        <v>68</v>
      </c>
      <c r="B70" s="44"/>
      <c r="C70" s="44" t="s">
        <v>24</v>
      </c>
      <c r="D70" s="44"/>
      <c r="E70" s="45" t="s">
        <v>129</v>
      </c>
      <c r="F70" s="46" t="s">
        <v>181</v>
      </c>
      <c r="G70" s="47" t="s">
        <v>182</v>
      </c>
      <c r="H70" s="46">
        <v>80</v>
      </c>
      <c r="I70" s="47" t="s">
        <v>109</v>
      </c>
      <c r="J70" s="44"/>
      <c r="K70" s="48">
        <v>2.5</v>
      </c>
      <c r="L70" s="49">
        <v>0.13</v>
      </c>
      <c r="M70" s="50">
        <f t="shared" si="2"/>
        <v>200</v>
      </c>
      <c r="N70" s="46" t="s">
        <v>127</v>
      </c>
      <c r="O70" s="45">
        <v>45623</v>
      </c>
      <c r="P70" s="53" t="s">
        <v>178</v>
      </c>
      <c r="Q70" s="32" t="str">
        <f>VLOOKUP(N70,[1]Sheet1!$F$1:$H$126,3,0)</f>
        <v>预付</v>
      </c>
      <c r="U70" s="32" t="s">
        <v>31</v>
      </c>
    </row>
    <row r="71" s="32" customFormat="1" spans="1:21">
      <c r="A71" s="44">
        <v>69</v>
      </c>
      <c r="B71" s="44"/>
      <c r="C71" s="44" t="s">
        <v>24</v>
      </c>
      <c r="D71" s="44"/>
      <c r="E71" s="45" t="s">
        <v>129</v>
      </c>
      <c r="F71" s="46" t="s">
        <v>183</v>
      </c>
      <c r="G71" s="47" t="s">
        <v>184</v>
      </c>
      <c r="H71" s="46">
        <v>33</v>
      </c>
      <c r="I71" s="47" t="s">
        <v>131</v>
      </c>
      <c r="J71" s="44"/>
      <c r="K71" s="48">
        <v>30</v>
      </c>
      <c r="L71" s="49">
        <v>0.13</v>
      </c>
      <c r="M71" s="50">
        <f t="shared" si="2"/>
        <v>990</v>
      </c>
      <c r="N71" s="46" t="s">
        <v>185</v>
      </c>
      <c r="O71" s="45">
        <v>45630</v>
      </c>
      <c r="P71" s="53" t="s">
        <v>186</v>
      </c>
      <c r="Q71" s="32" t="str">
        <f>VLOOKUP(N71,[1]Sheet1!$F$1:$H$126,3,0)</f>
        <v>预付</v>
      </c>
      <c r="U71" s="32" t="s">
        <v>31</v>
      </c>
    </row>
    <row r="72" s="32" customFormat="1" spans="1:21">
      <c r="A72" s="44">
        <v>70</v>
      </c>
      <c r="B72" s="44"/>
      <c r="C72" s="44" t="s">
        <v>24</v>
      </c>
      <c r="D72" s="44"/>
      <c r="E72" s="45" t="s">
        <v>129</v>
      </c>
      <c r="F72" s="46" t="s">
        <v>187</v>
      </c>
      <c r="G72" s="47" t="s">
        <v>188</v>
      </c>
      <c r="H72" s="46">
        <v>20</v>
      </c>
      <c r="I72" s="47" t="s">
        <v>131</v>
      </c>
      <c r="J72" s="44"/>
      <c r="K72" s="48">
        <v>114</v>
      </c>
      <c r="L72" s="49">
        <v>0.13</v>
      </c>
      <c r="M72" s="50">
        <f t="shared" si="2"/>
        <v>2280</v>
      </c>
      <c r="N72" s="46" t="s">
        <v>189</v>
      </c>
      <c r="O72" s="45">
        <v>45630</v>
      </c>
      <c r="P72" s="53" t="s">
        <v>190</v>
      </c>
      <c r="Q72" s="32" t="str">
        <f>VLOOKUP(N72,[1]Sheet1!$F$1:$H$126,3,0)</f>
        <v>即期</v>
      </c>
      <c r="U72" s="32" t="s">
        <v>31</v>
      </c>
    </row>
    <row r="73" s="32" customFormat="1" spans="1:21">
      <c r="A73" s="44">
        <v>71</v>
      </c>
      <c r="B73" s="44"/>
      <c r="C73" s="44" t="s">
        <v>24</v>
      </c>
      <c r="D73" s="44"/>
      <c r="E73" s="45" t="s">
        <v>129</v>
      </c>
      <c r="F73" s="46" t="s">
        <v>161</v>
      </c>
      <c r="G73" s="47" t="s">
        <v>162</v>
      </c>
      <c r="H73" s="46">
        <v>10</v>
      </c>
      <c r="I73" s="47" t="s">
        <v>34</v>
      </c>
      <c r="J73" s="44"/>
      <c r="K73" s="48">
        <v>250</v>
      </c>
      <c r="L73" s="49">
        <v>0.13</v>
      </c>
      <c r="M73" s="50">
        <f t="shared" si="2"/>
        <v>2500</v>
      </c>
      <c r="N73" s="46" t="s">
        <v>163</v>
      </c>
      <c r="O73" s="45">
        <v>45694</v>
      </c>
      <c r="P73" s="53" t="s">
        <v>191</v>
      </c>
      <c r="Q73" s="32" t="str">
        <f>VLOOKUP(N73,[1]Sheet1!$F$1:$H$126,3,0)</f>
        <v>预付</v>
      </c>
      <c r="U73" s="32" t="s">
        <v>31</v>
      </c>
    </row>
    <row r="74" s="32" customFormat="1" spans="1:21">
      <c r="A74" s="44">
        <v>72</v>
      </c>
      <c r="B74" s="44"/>
      <c r="C74" s="44" t="s">
        <v>24</v>
      </c>
      <c r="D74" s="44"/>
      <c r="E74" s="45" t="s">
        <v>129</v>
      </c>
      <c r="F74" s="46" t="s">
        <v>192</v>
      </c>
      <c r="G74" s="47" t="s">
        <v>193</v>
      </c>
      <c r="H74" s="46">
        <v>3</v>
      </c>
      <c r="I74" s="47" t="s">
        <v>131</v>
      </c>
      <c r="J74" s="44"/>
      <c r="K74" s="48">
        <v>500</v>
      </c>
      <c r="L74" s="49">
        <v>0.13</v>
      </c>
      <c r="M74" s="50">
        <f t="shared" si="2"/>
        <v>1500</v>
      </c>
      <c r="N74" s="46" t="s">
        <v>194</v>
      </c>
      <c r="O74" s="45">
        <v>45696</v>
      </c>
      <c r="P74" s="53" t="s">
        <v>195</v>
      </c>
      <c r="Q74" s="32" t="str">
        <f>VLOOKUP(N74,[1]Sheet1!$F$1:$H$126,3,0)</f>
        <v>预付</v>
      </c>
      <c r="U74" s="32" t="s">
        <v>31</v>
      </c>
    </row>
    <row r="75" s="32" customFormat="1" spans="1:21">
      <c r="A75" s="44">
        <v>73</v>
      </c>
      <c r="B75" s="44"/>
      <c r="C75" s="44" t="s">
        <v>24</v>
      </c>
      <c r="D75" s="44"/>
      <c r="E75" s="45" t="s">
        <v>129</v>
      </c>
      <c r="F75" s="46" t="s">
        <v>196</v>
      </c>
      <c r="G75" s="47"/>
      <c r="H75" s="46">
        <v>100</v>
      </c>
      <c r="I75" s="47"/>
      <c r="J75" s="44"/>
      <c r="K75" s="48">
        <v>54</v>
      </c>
      <c r="L75" s="49">
        <v>0.13</v>
      </c>
      <c r="M75" s="50">
        <f t="shared" si="2"/>
        <v>5400</v>
      </c>
      <c r="N75" s="46" t="s">
        <v>73</v>
      </c>
      <c r="O75" s="45">
        <v>45696</v>
      </c>
      <c r="P75" s="53" t="s">
        <v>197</v>
      </c>
      <c r="Q75" s="32" t="str">
        <f>VLOOKUP(N75,[1]Sheet1!$F$1:$H$126,3,0)</f>
        <v>预付+即期</v>
      </c>
      <c r="U75" s="32" t="s">
        <v>31</v>
      </c>
    </row>
    <row r="76" s="32" customFormat="1" spans="1:21">
      <c r="A76" s="44">
        <v>74</v>
      </c>
      <c r="B76" s="44"/>
      <c r="C76" s="44" t="s">
        <v>24</v>
      </c>
      <c r="D76" s="44"/>
      <c r="E76" s="45" t="s">
        <v>129</v>
      </c>
      <c r="F76" s="46" t="s">
        <v>198</v>
      </c>
      <c r="G76" s="47" t="s">
        <v>199</v>
      </c>
      <c r="H76" s="46"/>
      <c r="I76" s="47"/>
      <c r="J76" s="44"/>
      <c r="K76" s="48"/>
      <c r="L76" s="49">
        <v>0.13</v>
      </c>
      <c r="M76" s="50">
        <v>1571.9</v>
      </c>
      <c r="N76" s="46" t="s">
        <v>127</v>
      </c>
      <c r="O76" s="45">
        <v>45709</v>
      </c>
      <c r="P76" s="53"/>
      <c r="Q76" s="32" t="str">
        <f>VLOOKUP(N76,[1]Sheet1!$F$1:$H$126,3,0)</f>
        <v>预付</v>
      </c>
      <c r="U76" s="32" t="s">
        <v>31</v>
      </c>
    </row>
    <row r="77" s="32" customFormat="1" spans="1:21">
      <c r="A77" s="44">
        <v>75</v>
      </c>
      <c r="B77" s="44"/>
      <c r="C77" s="44" t="s">
        <v>24</v>
      </c>
      <c r="D77" s="44"/>
      <c r="E77" s="45" t="s">
        <v>129</v>
      </c>
      <c r="F77" s="46" t="s">
        <v>198</v>
      </c>
      <c r="G77" s="47" t="s">
        <v>199</v>
      </c>
      <c r="H77" s="46"/>
      <c r="I77" s="47"/>
      <c r="J77" s="44"/>
      <c r="K77" s="48"/>
      <c r="L77" s="49">
        <v>0.13</v>
      </c>
      <c r="M77" s="50">
        <v>13977.43</v>
      </c>
      <c r="N77" s="46" t="s">
        <v>127</v>
      </c>
      <c r="O77" s="45">
        <v>45729</v>
      </c>
      <c r="P77" s="53"/>
      <c r="Q77" s="32" t="str">
        <f>VLOOKUP(N77,[1]Sheet1!$F$1:$H$126,3,0)</f>
        <v>预付</v>
      </c>
      <c r="U77" s="32" t="s">
        <v>31</v>
      </c>
    </row>
    <row r="78" s="32" customFormat="1" spans="1:21">
      <c r="A78" s="44">
        <v>76</v>
      </c>
      <c r="B78" s="44"/>
      <c r="C78" s="44" t="s">
        <v>24</v>
      </c>
      <c r="D78" s="44"/>
      <c r="E78" s="45" t="s">
        <v>129</v>
      </c>
      <c r="F78" s="46" t="s">
        <v>200</v>
      </c>
      <c r="G78" s="47" t="s">
        <v>201</v>
      </c>
      <c r="H78" s="46">
        <v>1</v>
      </c>
      <c r="I78" s="47" t="s">
        <v>202</v>
      </c>
      <c r="J78" s="44"/>
      <c r="K78" s="48">
        <v>350</v>
      </c>
      <c r="L78" s="49">
        <v>0.13</v>
      </c>
      <c r="M78" s="50">
        <f t="shared" si="2"/>
        <v>350</v>
      </c>
      <c r="N78" s="46" t="s">
        <v>160</v>
      </c>
      <c r="O78" s="45">
        <v>45741</v>
      </c>
      <c r="P78" s="53"/>
      <c r="Q78" s="32" t="str">
        <f>VLOOKUP(N78,[1]Sheet1!$F$1:$H$126,3,0)</f>
        <v>即期</v>
      </c>
      <c r="U78" s="32" t="s">
        <v>31</v>
      </c>
    </row>
    <row r="79" s="32" customFormat="1" spans="1:21">
      <c r="A79" s="44">
        <v>77</v>
      </c>
      <c r="B79" s="44"/>
      <c r="C79" s="44" t="s">
        <v>24</v>
      </c>
      <c r="D79" s="44"/>
      <c r="E79" s="45" t="s">
        <v>129</v>
      </c>
      <c r="F79" s="46" t="s">
        <v>196</v>
      </c>
      <c r="G79" s="47"/>
      <c r="H79" s="46">
        <v>100</v>
      </c>
      <c r="I79" s="47"/>
      <c r="J79" s="44"/>
      <c r="K79" s="48">
        <v>40</v>
      </c>
      <c r="L79" s="49">
        <v>0.13</v>
      </c>
      <c r="M79" s="50">
        <f t="shared" si="2"/>
        <v>4000</v>
      </c>
      <c r="N79" s="46" t="s">
        <v>73</v>
      </c>
      <c r="O79" s="45">
        <v>45749</v>
      </c>
      <c r="P79" s="53" t="s">
        <v>203</v>
      </c>
      <c r="Q79" s="32" t="str">
        <f>VLOOKUP(N79,[1]Sheet1!$F$1:$H$126,3,0)</f>
        <v>预付+即期</v>
      </c>
      <c r="U79" s="32" t="s">
        <v>31</v>
      </c>
    </row>
    <row r="80" s="32" customFormat="1" spans="1:21">
      <c r="A80" s="44">
        <v>78</v>
      </c>
      <c r="B80" s="44"/>
      <c r="C80" s="44" t="s">
        <v>24</v>
      </c>
      <c r="D80" s="44"/>
      <c r="E80" s="45" t="s">
        <v>129</v>
      </c>
      <c r="F80" s="46" t="s">
        <v>204</v>
      </c>
      <c r="G80" s="47" t="s">
        <v>205</v>
      </c>
      <c r="H80" s="46">
        <v>15</v>
      </c>
      <c r="I80" s="47" t="s">
        <v>131</v>
      </c>
      <c r="J80" s="44"/>
      <c r="K80" s="48">
        <v>200</v>
      </c>
      <c r="L80" s="49">
        <v>0.13</v>
      </c>
      <c r="M80" s="50">
        <f t="shared" si="2"/>
        <v>3000</v>
      </c>
      <c r="N80" s="46" t="s">
        <v>206</v>
      </c>
      <c r="O80" s="45">
        <v>45754</v>
      </c>
      <c r="P80" s="53" t="s">
        <v>207</v>
      </c>
      <c r="Q80" s="32" t="str">
        <f>VLOOKUP(N80,[1]Sheet1!$F$1:$H$126,3,0)</f>
        <v>即期</v>
      </c>
      <c r="U80" s="32" t="s">
        <v>31</v>
      </c>
    </row>
    <row r="81" s="32" customFormat="1" spans="1:21">
      <c r="A81" s="44">
        <v>79</v>
      </c>
      <c r="B81" s="44"/>
      <c r="C81" s="44" t="s">
        <v>24</v>
      </c>
      <c r="D81" s="44"/>
      <c r="E81" s="45" t="s">
        <v>129</v>
      </c>
      <c r="F81" s="46" t="s">
        <v>196</v>
      </c>
      <c r="G81" s="47"/>
      <c r="H81" s="46">
        <v>10</v>
      </c>
      <c r="I81" s="47"/>
      <c r="J81" s="44"/>
      <c r="K81" s="48">
        <v>70</v>
      </c>
      <c r="L81" s="49">
        <v>0.13</v>
      </c>
      <c r="M81" s="50">
        <f t="shared" si="2"/>
        <v>700</v>
      </c>
      <c r="N81" s="46" t="s">
        <v>73</v>
      </c>
      <c r="O81" s="45">
        <v>45757</v>
      </c>
      <c r="P81" s="53" t="s">
        <v>208</v>
      </c>
      <c r="Q81" s="32" t="str">
        <f>VLOOKUP(N81,[1]Sheet1!$F$1:$H$126,3,0)</f>
        <v>预付+即期</v>
      </c>
      <c r="U81" s="32" t="s">
        <v>31</v>
      </c>
    </row>
    <row r="82" s="32" customFormat="1" spans="1:21">
      <c r="A82" s="44">
        <v>80</v>
      </c>
      <c r="B82" s="44"/>
      <c r="C82" s="44" t="s">
        <v>24</v>
      </c>
      <c r="D82" s="44"/>
      <c r="E82" s="45" t="s">
        <v>129</v>
      </c>
      <c r="F82" s="46" t="s">
        <v>143</v>
      </c>
      <c r="G82" s="47" t="s">
        <v>209</v>
      </c>
      <c r="H82" s="46">
        <v>104</v>
      </c>
      <c r="I82" s="47" t="s">
        <v>131</v>
      </c>
      <c r="J82" s="44"/>
      <c r="K82" s="48">
        <v>20</v>
      </c>
      <c r="L82" s="49">
        <v>0.13</v>
      </c>
      <c r="M82" s="50">
        <f t="shared" si="2"/>
        <v>2080</v>
      </c>
      <c r="N82" s="46" t="s">
        <v>145</v>
      </c>
      <c r="O82" s="45">
        <v>45758</v>
      </c>
      <c r="P82" s="53" t="s">
        <v>210</v>
      </c>
      <c r="Q82" s="32" t="str">
        <f>VLOOKUP(N82,[1]Sheet1!$F$1:$H$126,3,0)</f>
        <v>预付</v>
      </c>
      <c r="U82" s="32" t="s">
        <v>31</v>
      </c>
    </row>
    <row r="83" s="32" customFormat="1" spans="1:21">
      <c r="A83" s="44">
        <v>81</v>
      </c>
      <c r="B83" s="44"/>
      <c r="C83" s="44" t="s">
        <v>24</v>
      </c>
      <c r="D83" s="44"/>
      <c r="E83" s="45" t="s">
        <v>129</v>
      </c>
      <c r="F83" s="46" t="s">
        <v>196</v>
      </c>
      <c r="G83" s="47"/>
      <c r="H83" s="46">
        <v>20</v>
      </c>
      <c r="I83" s="47"/>
      <c r="J83" s="44"/>
      <c r="K83" s="48">
        <v>70</v>
      </c>
      <c r="L83" s="49">
        <v>0.13</v>
      </c>
      <c r="M83" s="50">
        <f t="shared" si="2"/>
        <v>1400</v>
      </c>
      <c r="N83" s="46" t="s">
        <v>73</v>
      </c>
      <c r="O83" s="45">
        <v>45761</v>
      </c>
      <c r="P83" s="53" t="s">
        <v>211</v>
      </c>
      <c r="Q83" s="32" t="str">
        <f>VLOOKUP(N83,[1]Sheet1!$F$1:$H$126,3,0)</f>
        <v>预付+即期</v>
      </c>
      <c r="U83" s="32" t="s">
        <v>31</v>
      </c>
    </row>
    <row r="84" s="32" customFormat="1" spans="1:21">
      <c r="A84" s="44">
        <v>82</v>
      </c>
      <c r="B84" s="44"/>
      <c r="C84" s="44" t="s">
        <v>24</v>
      </c>
      <c r="D84" s="44"/>
      <c r="E84" s="45" t="s">
        <v>25</v>
      </c>
      <c r="F84" s="46" t="s">
        <v>212</v>
      </c>
      <c r="G84" s="47" t="s">
        <v>213</v>
      </c>
      <c r="H84" s="46">
        <v>2</v>
      </c>
      <c r="I84" s="47" t="s">
        <v>58</v>
      </c>
      <c r="J84" s="44"/>
      <c r="K84" s="48">
        <v>1800</v>
      </c>
      <c r="L84" s="49">
        <v>0.13</v>
      </c>
      <c r="M84" s="50">
        <f t="shared" si="2"/>
        <v>3600</v>
      </c>
      <c r="N84" s="46" t="s">
        <v>214</v>
      </c>
      <c r="O84" s="45">
        <v>45764</v>
      </c>
      <c r="P84" s="53" t="s">
        <v>215</v>
      </c>
      <c r="Q84" s="32" t="str">
        <f>VLOOKUP(N84,[1]Sheet1!$F$1:$H$126,3,0)</f>
        <v>预付</v>
      </c>
      <c r="U84" s="32" t="s">
        <v>31</v>
      </c>
    </row>
    <row r="85" s="32" customFormat="1" spans="1:21">
      <c r="A85" s="44">
        <v>83</v>
      </c>
      <c r="B85" s="44"/>
      <c r="C85" s="44" t="s">
        <v>24</v>
      </c>
      <c r="D85" s="44"/>
      <c r="E85" s="45" t="s">
        <v>25</v>
      </c>
      <c r="F85" s="46" t="s">
        <v>212</v>
      </c>
      <c r="G85" s="47" t="s">
        <v>216</v>
      </c>
      <c r="H85" s="46">
        <v>2</v>
      </c>
      <c r="I85" s="47" t="s">
        <v>58</v>
      </c>
      <c r="J85" s="44"/>
      <c r="K85" s="48">
        <v>1800</v>
      </c>
      <c r="L85" s="49">
        <v>0.13</v>
      </c>
      <c r="M85" s="50">
        <f t="shared" si="2"/>
        <v>3600</v>
      </c>
      <c r="N85" s="46" t="s">
        <v>214</v>
      </c>
      <c r="O85" s="45">
        <v>45764</v>
      </c>
      <c r="P85" s="53" t="s">
        <v>215</v>
      </c>
      <c r="Q85" s="32" t="str">
        <f>VLOOKUP(N85,[1]Sheet1!$F$1:$H$126,3,0)</f>
        <v>预付</v>
      </c>
      <c r="U85" s="32" t="s">
        <v>31</v>
      </c>
    </row>
    <row r="86" s="32" customFormat="1" spans="1:21">
      <c r="A86" s="44">
        <v>84</v>
      </c>
      <c r="B86" s="44"/>
      <c r="C86" s="44" t="s">
        <v>24</v>
      </c>
      <c r="D86" s="44"/>
      <c r="E86" s="45" t="s">
        <v>129</v>
      </c>
      <c r="F86" s="46" t="s">
        <v>196</v>
      </c>
      <c r="G86" s="47"/>
      <c r="H86" s="46">
        <v>30</v>
      </c>
      <c r="I86" s="47"/>
      <c r="J86" s="44"/>
      <c r="K86" s="48">
        <v>130</v>
      </c>
      <c r="L86" s="49">
        <v>0.13</v>
      </c>
      <c r="M86" s="50">
        <f t="shared" si="2"/>
        <v>3900</v>
      </c>
      <c r="N86" s="46" t="s">
        <v>73</v>
      </c>
      <c r="O86" s="45">
        <v>45787</v>
      </c>
      <c r="P86" s="53" t="s">
        <v>217</v>
      </c>
      <c r="Q86" s="32" t="str">
        <f>VLOOKUP(N86,[1]Sheet1!$F$1:$H$126,3,0)</f>
        <v>预付+即期</v>
      </c>
      <c r="U86" s="32" t="s">
        <v>31</v>
      </c>
    </row>
    <row r="87" s="32" customFormat="1" spans="1:21">
      <c r="A87" s="44">
        <v>85</v>
      </c>
      <c r="B87" s="44"/>
      <c r="C87" s="44" t="s">
        <v>24</v>
      </c>
      <c r="D87" s="44"/>
      <c r="E87" s="45" t="s">
        <v>129</v>
      </c>
      <c r="F87" s="46" t="s">
        <v>218</v>
      </c>
      <c r="G87" s="47" t="s">
        <v>219</v>
      </c>
      <c r="H87" s="46">
        <v>100</v>
      </c>
      <c r="I87" s="47" t="s">
        <v>34</v>
      </c>
      <c r="J87" s="44"/>
      <c r="K87" s="48">
        <v>2.3</v>
      </c>
      <c r="L87" s="49">
        <v>0.13</v>
      </c>
      <c r="M87" s="50">
        <f t="shared" si="2"/>
        <v>230</v>
      </c>
      <c r="N87" s="46" t="s">
        <v>220</v>
      </c>
      <c r="O87" s="45">
        <v>45797</v>
      </c>
      <c r="P87" s="53" t="s">
        <v>221</v>
      </c>
      <c r="Q87" s="32" t="str">
        <f>VLOOKUP(N87,[1]Sheet1!$F$1:$H$126,3,0)</f>
        <v>预付</v>
      </c>
      <c r="U87" s="32" t="s">
        <v>31</v>
      </c>
    </row>
    <row r="88" s="32" customFormat="1" spans="1:21">
      <c r="A88" s="44">
        <v>86</v>
      </c>
      <c r="B88" s="44"/>
      <c r="C88" s="44" t="s">
        <v>24</v>
      </c>
      <c r="D88" s="44"/>
      <c r="E88" s="45" t="s">
        <v>129</v>
      </c>
      <c r="F88" s="46" t="s">
        <v>222</v>
      </c>
      <c r="G88" s="47" t="s">
        <v>223</v>
      </c>
      <c r="H88" s="46"/>
      <c r="I88" s="47" t="s">
        <v>109</v>
      </c>
      <c r="J88" s="44"/>
      <c r="K88" s="48"/>
      <c r="L88" s="49">
        <v>0.13</v>
      </c>
      <c r="M88" s="50">
        <v>546.5</v>
      </c>
      <c r="N88" s="46" t="s">
        <v>127</v>
      </c>
      <c r="O88" s="45">
        <v>45799</v>
      </c>
      <c r="P88" s="53"/>
      <c r="Q88" s="32" t="str">
        <f>VLOOKUP(N88,[1]Sheet1!$F$1:$H$126,3,0)</f>
        <v>预付</v>
      </c>
      <c r="U88" s="32" t="s">
        <v>31</v>
      </c>
    </row>
    <row r="89" s="32" customFormat="1" spans="1:21">
      <c r="A89" s="44">
        <v>87</v>
      </c>
      <c r="B89" s="44"/>
      <c r="C89" s="44" t="s">
        <v>24</v>
      </c>
      <c r="D89" s="44"/>
      <c r="E89" s="45" t="s">
        <v>129</v>
      </c>
      <c r="F89" s="46" t="s">
        <v>224</v>
      </c>
      <c r="G89" s="47" t="s">
        <v>225</v>
      </c>
      <c r="H89" s="46">
        <v>2</v>
      </c>
      <c r="I89" s="47" t="s">
        <v>58</v>
      </c>
      <c r="J89" s="44"/>
      <c r="K89" s="48">
        <v>125</v>
      </c>
      <c r="L89" s="49">
        <v>0.13</v>
      </c>
      <c r="M89" s="50">
        <f t="shared" si="2"/>
        <v>250</v>
      </c>
      <c r="N89" s="47" t="s">
        <v>226</v>
      </c>
      <c r="O89" s="45">
        <v>45828</v>
      </c>
      <c r="P89" s="53" t="s">
        <v>227</v>
      </c>
      <c r="Q89" s="32" t="str">
        <f>VLOOKUP(N89,[1]Sheet1!$F$1:$H$126,3,0)</f>
        <v>预付</v>
      </c>
      <c r="U89" s="32" t="s">
        <v>31</v>
      </c>
    </row>
    <row r="90" s="32" customFormat="1" spans="1:21">
      <c r="A90" s="44">
        <v>88</v>
      </c>
      <c r="B90" s="44"/>
      <c r="C90" s="44" t="s">
        <v>24</v>
      </c>
      <c r="D90" s="44"/>
      <c r="E90" s="45" t="s">
        <v>129</v>
      </c>
      <c r="F90" s="46" t="s">
        <v>228</v>
      </c>
      <c r="G90" s="47" t="s">
        <v>229</v>
      </c>
      <c r="H90" s="46">
        <v>2</v>
      </c>
      <c r="I90" s="47" t="s">
        <v>58</v>
      </c>
      <c r="J90" s="44"/>
      <c r="K90" s="48">
        <v>125</v>
      </c>
      <c r="L90" s="49">
        <v>0.13</v>
      </c>
      <c r="M90" s="50">
        <f t="shared" si="2"/>
        <v>250</v>
      </c>
      <c r="N90" s="47"/>
      <c r="O90" s="45"/>
      <c r="P90" s="53"/>
      <c r="Q90" s="32" t="e">
        <f>VLOOKUP(N90,[1]Sheet1!$F$1:$H$126,3,0)</f>
        <v>#N/A</v>
      </c>
      <c r="U90" s="32" t="s">
        <v>31</v>
      </c>
    </row>
    <row r="91" s="32" customFormat="1" spans="1:21">
      <c r="A91" s="44">
        <v>89</v>
      </c>
      <c r="B91" s="44"/>
      <c r="C91" s="44" t="s">
        <v>24</v>
      </c>
      <c r="D91" s="44"/>
      <c r="E91" s="45" t="s">
        <v>129</v>
      </c>
      <c r="F91" s="46" t="s">
        <v>230</v>
      </c>
      <c r="G91" s="47" t="s">
        <v>231</v>
      </c>
      <c r="H91" s="46">
        <v>2</v>
      </c>
      <c r="I91" s="47" t="s">
        <v>232</v>
      </c>
      <c r="J91" s="44"/>
      <c r="K91" s="48">
        <v>410</v>
      </c>
      <c r="L91" s="49">
        <v>0.13</v>
      </c>
      <c r="M91" s="50">
        <f t="shared" si="2"/>
        <v>820</v>
      </c>
      <c r="N91" s="46" t="s">
        <v>160</v>
      </c>
      <c r="O91" s="45">
        <v>45831</v>
      </c>
      <c r="P91" s="53" t="s">
        <v>233</v>
      </c>
      <c r="Q91" s="32" t="str">
        <f>VLOOKUP(N91,[1]Sheet1!$F$1:$H$126,3,0)</f>
        <v>即期</v>
      </c>
      <c r="U91" s="32" t="s">
        <v>31</v>
      </c>
    </row>
    <row r="92" s="32" customFormat="1" spans="1:21">
      <c r="A92" s="44">
        <v>90</v>
      </c>
      <c r="B92" s="44"/>
      <c r="C92" s="44" t="s">
        <v>24</v>
      </c>
      <c r="D92" s="44"/>
      <c r="E92" s="45" t="s">
        <v>129</v>
      </c>
      <c r="F92" s="46" t="s">
        <v>234</v>
      </c>
      <c r="G92" s="47" t="s">
        <v>235</v>
      </c>
      <c r="H92" s="46">
        <v>5</v>
      </c>
      <c r="I92" s="47" t="s">
        <v>236</v>
      </c>
      <c r="J92" s="44"/>
      <c r="K92" s="48">
        <v>150</v>
      </c>
      <c r="L92" s="49">
        <v>0.13</v>
      </c>
      <c r="M92" s="50">
        <f t="shared" si="2"/>
        <v>750</v>
      </c>
      <c r="N92" s="46" t="s">
        <v>237</v>
      </c>
      <c r="O92" s="45">
        <v>45829</v>
      </c>
      <c r="P92" s="53"/>
      <c r="Q92" s="32" t="e">
        <f>VLOOKUP(N92,[1]Sheet1!$F$1:$H$126,3,0)</f>
        <v>#N/A</v>
      </c>
      <c r="U92" s="32" t="s">
        <v>31</v>
      </c>
    </row>
    <row r="93" s="32" customFormat="1" spans="1:21">
      <c r="A93" s="44">
        <v>91</v>
      </c>
      <c r="B93" s="44"/>
      <c r="C93" s="44" t="s">
        <v>24</v>
      </c>
      <c r="D93" s="44"/>
      <c r="E93" s="45" t="s">
        <v>25</v>
      </c>
      <c r="F93" s="46" t="s">
        <v>212</v>
      </c>
      <c r="G93" s="47" t="s">
        <v>216</v>
      </c>
      <c r="H93" s="46">
        <v>1</v>
      </c>
      <c r="I93" s="47" t="s">
        <v>58</v>
      </c>
      <c r="J93" s="44"/>
      <c r="K93" s="48">
        <v>1800</v>
      </c>
      <c r="L93" s="49">
        <v>0.13</v>
      </c>
      <c r="M93" s="50">
        <f t="shared" si="2"/>
        <v>1800</v>
      </c>
      <c r="N93" s="46" t="s">
        <v>238</v>
      </c>
      <c r="O93" s="45">
        <v>45846</v>
      </c>
      <c r="P93" s="53"/>
      <c r="Q93" s="32" t="e">
        <f>VLOOKUP(N93,[1]Sheet1!$F$1:$H$126,3,0)</f>
        <v>#N/A</v>
      </c>
      <c r="U93" s="32" t="s">
        <v>31</v>
      </c>
    </row>
    <row r="94" s="32" customFormat="1" spans="1:21">
      <c r="A94" s="44">
        <v>92</v>
      </c>
      <c r="B94" s="44"/>
      <c r="C94" s="44" t="s">
        <v>24</v>
      </c>
      <c r="D94" s="44"/>
      <c r="E94" s="57" t="s">
        <v>129</v>
      </c>
      <c r="F94" s="47" t="s">
        <v>239</v>
      </c>
      <c r="G94" s="58" t="s">
        <v>240</v>
      </c>
      <c r="H94" s="46">
        <v>10</v>
      </c>
      <c r="I94" s="47" t="s">
        <v>241</v>
      </c>
      <c r="J94" s="44"/>
      <c r="K94" s="48">
        <v>100</v>
      </c>
      <c r="L94" s="49">
        <v>0.13</v>
      </c>
      <c r="M94" s="50">
        <f t="shared" si="2"/>
        <v>1000</v>
      </c>
      <c r="N94" s="47" t="s">
        <v>242</v>
      </c>
      <c r="O94" s="57">
        <v>45867</v>
      </c>
      <c r="P94" s="53"/>
      <c r="Q94" s="32" t="e">
        <f>VLOOKUP(N94,[1]Sheet1!$F$1:$H$126,3,0)</f>
        <v>#N/A</v>
      </c>
      <c r="U94" s="32" t="s">
        <v>31</v>
      </c>
    </row>
    <row r="95" s="32" customFormat="1" spans="1:21">
      <c r="A95" s="44">
        <v>93</v>
      </c>
      <c r="B95" s="44"/>
      <c r="C95" s="44" t="s">
        <v>24</v>
      </c>
      <c r="D95" s="44"/>
      <c r="E95" s="57"/>
      <c r="F95" s="47"/>
      <c r="G95" s="58" t="s">
        <v>243</v>
      </c>
      <c r="H95" s="46">
        <v>10</v>
      </c>
      <c r="I95" s="47" t="s">
        <v>241</v>
      </c>
      <c r="J95" s="44"/>
      <c r="K95" s="48">
        <v>95</v>
      </c>
      <c r="L95" s="49">
        <v>0.13</v>
      </c>
      <c r="M95" s="50">
        <f t="shared" si="2"/>
        <v>950</v>
      </c>
      <c r="N95" s="47"/>
      <c r="O95" s="57"/>
      <c r="P95" s="53"/>
      <c r="Q95" s="32" t="e">
        <f>VLOOKUP(N95,[1]Sheet1!$F$1:$H$126,3,0)</f>
        <v>#N/A</v>
      </c>
      <c r="U95" s="32" t="s">
        <v>31</v>
      </c>
    </row>
    <row r="96" s="32" customFormat="1" spans="1:21">
      <c r="A96" s="44">
        <v>94</v>
      </c>
      <c r="B96" s="44"/>
      <c r="C96" s="44" t="s">
        <v>24</v>
      </c>
      <c r="D96" s="44"/>
      <c r="E96" s="57"/>
      <c r="F96" s="47"/>
      <c r="G96" s="58" t="s">
        <v>244</v>
      </c>
      <c r="H96" s="46">
        <v>10</v>
      </c>
      <c r="I96" s="47" t="s">
        <v>241</v>
      </c>
      <c r="J96" s="44"/>
      <c r="K96" s="48">
        <v>85</v>
      </c>
      <c r="L96" s="49">
        <v>0.13</v>
      </c>
      <c r="M96" s="50">
        <f t="shared" si="2"/>
        <v>850</v>
      </c>
      <c r="N96" s="47"/>
      <c r="O96" s="57"/>
      <c r="P96" s="53"/>
      <c r="Q96" s="32" t="e">
        <f>VLOOKUP(N96,[1]Sheet1!$F$1:$H$126,3,0)</f>
        <v>#N/A</v>
      </c>
      <c r="U96" s="32" t="s">
        <v>31</v>
      </c>
    </row>
    <row r="97" s="32" customFormat="1" spans="1:21">
      <c r="A97" s="44">
        <v>95</v>
      </c>
      <c r="B97" s="44"/>
      <c r="C97" s="44" t="s">
        <v>24</v>
      </c>
      <c r="D97" s="44"/>
      <c r="E97" s="45" t="s">
        <v>129</v>
      </c>
      <c r="F97" s="46" t="s">
        <v>245</v>
      </c>
      <c r="G97" s="47" t="s">
        <v>246</v>
      </c>
      <c r="H97" s="46">
        <v>1</v>
      </c>
      <c r="I97" s="47" t="s">
        <v>247</v>
      </c>
      <c r="J97" s="44"/>
      <c r="K97" s="48">
        <v>400</v>
      </c>
      <c r="L97" s="49">
        <v>0.13</v>
      </c>
      <c r="M97" s="50">
        <f t="shared" si="2"/>
        <v>400</v>
      </c>
      <c r="N97" s="47" t="s">
        <v>248</v>
      </c>
      <c r="O97" s="45">
        <v>45868</v>
      </c>
      <c r="P97" s="53" t="s">
        <v>249</v>
      </c>
      <c r="Q97" s="32" t="e">
        <f>VLOOKUP(N97,[1]Sheet1!$F$1:$H$126,3,0)</f>
        <v>#N/A</v>
      </c>
      <c r="U97" s="32" t="s">
        <v>31</v>
      </c>
    </row>
    <row r="98" s="32" customFormat="1" spans="1:21">
      <c r="A98" s="44">
        <v>96</v>
      </c>
      <c r="B98" s="44"/>
      <c r="C98" s="44" t="s">
        <v>24</v>
      </c>
      <c r="D98" s="44"/>
      <c r="E98" s="45"/>
      <c r="F98" s="46" t="s">
        <v>245</v>
      </c>
      <c r="G98" s="47" t="s">
        <v>250</v>
      </c>
      <c r="H98" s="46">
        <v>1</v>
      </c>
      <c r="I98" s="47" t="s">
        <v>247</v>
      </c>
      <c r="J98" s="44"/>
      <c r="K98" s="48">
        <v>400</v>
      </c>
      <c r="L98" s="49">
        <v>0.13</v>
      </c>
      <c r="M98" s="50">
        <f t="shared" si="2"/>
        <v>400</v>
      </c>
      <c r="N98" s="47"/>
      <c r="O98" s="45"/>
      <c r="P98" s="53"/>
      <c r="Q98" s="32" t="e">
        <f>VLOOKUP(N98,[1]Sheet1!$F$1:$H$126,3,0)</f>
        <v>#N/A</v>
      </c>
      <c r="U98" s="32" t="s">
        <v>31</v>
      </c>
    </row>
    <row r="99" s="32" customFormat="1" spans="1:21">
      <c r="A99" s="44">
        <v>97</v>
      </c>
      <c r="B99" s="44"/>
      <c r="C99" s="44" t="s">
        <v>24</v>
      </c>
      <c r="D99" s="44"/>
      <c r="E99" s="57" t="s">
        <v>25</v>
      </c>
      <c r="F99" s="46" t="s">
        <v>251</v>
      </c>
      <c r="G99" s="47" t="s">
        <v>216</v>
      </c>
      <c r="H99" s="46">
        <v>4</v>
      </c>
      <c r="I99" s="47" t="s">
        <v>252</v>
      </c>
      <c r="J99" s="44"/>
      <c r="K99" s="48">
        <v>1700</v>
      </c>
      <c r="L99" s="49">
        <v>0.13</v>
      </c>
      <c r="M99" s="50">
        <f t="shared" si="2"/>
        <v>6800</v>
      </c>
      <c r="N99" s="47" t="s">
        <v>238</v>
      </c>
      <c r="O99" s="45">
        <v>45870</v>
      </c>
      <c r="P99" s="53"/>
      <c r="Q99" s="32" t="e">
        <f>VLOOKUP(N99,[1]Sheet1!$F$1:$H$126,3,0)</f>
        <v>#N/A</v>
      </c>
      <c r="U99" s="32" t="s">
        <v>31</v>
      </c>
    </row>
    <row r="100" s="32" customFormat="1" spans="1:21">
      <c r="A100" s="44">
        <v>98</v>
      </c>
      <c r="B100" s="44"/>
      <c r="C100" s="44" t="s">
        <v>24</v>
      </c>
      <c r="D100" s="44"/>
      <c r="E100" s="57"/>
      <c r="F100" s="46" t="s">
        <v>253</v>
      </c>
      <c r="G100" s="47" t="s">
        <v>213</v>
      </c>
      <c r="H100" s="46">
        <v>2</v>
      </c>
      <c r="I100" s="47" t="s">
        <v>252</v>
      </c>
      <c r="J100" s="44"/>
      <c r="K100" s="48">
        <v>1700</v>
      </c>
      <c r="L100" s="49">
        <v>0.13</v>
      </c>
      <c r="M100" s="50">
        <f t="shared" si="2"/>
        <v>3400</v>
      </c>
      <c r="N100" s="47"/>
      <c r="O100" s="45"/>
      <c r="P100" s="53"/>
      <c r="Q100" s="32" t="e">
        <f>VLOOKUP(N100,[1]Sheet1!$F$1:$H$126,3,0)</f>
        <v>#N/A</v>
      </c>
      <c r="U100" s="32" t="s">
        <v>31</v>
      </c>
    </row>
    <row r="101" s="32" customFormat="1" spans="1:21">
      <c r="A101" s="44">
        <v>99</v>
      </c>
      <c r="B101" s="44"/>
      <c r="C101" s="44" t="s">
        <v>24</v>
      </c>
      <c r="D101" s="44"/>
      <c r="E101" s="57"/>
      <c r="F101" s="46" t="s">
        <v>254</v>
      </c>
      <c r="G101" s="47" t="s">
        <v>255</v>
      </c>
      <c r="H101" s="46">
        <v>1</v>
      </c>
      <c r="I101" s="47" t="s">
        <v>256</v>
      </c>
      <c r="J101" s="44"/>
      <c r="K101" s="48">
        <v>355</v>
      </c>
      <c r="L101" s="49">
        <v>0.13</v>
      </c>
      <c r="M101" s="50">
        <f t="shared" si="2"/>
        <v>355</v>
      </c>
      <c r="N101" s="47"/>
      <c r="O101" s="45">
        <v>45870</v>
      </c>
      <c r="P101" s="53"/>
      <c r="Q101" s="32" t="e">
        <f>VLOOKUP(N101,[1]Sheet1!$F$1:$H$126,3,0)</f>
        <v>#N/A</v>
      </c>
    </row>
    <row r="102" s="32" customFormat="1" spans="1:21">
      <c r="A102" s="44">
        <v>100</v>
      </c>
      <c r="B102" s="44"/>
      <c r="C102" s="44" t="s">
        <v>24</v>
      </c>
      <c r="D102" s="44"/>
      <c r="E102" s="45" t="s">
        <v>129</v>
      </c>
      <c r="F102" s="46" t="s">
        <v>257</v>
      </c>
      <c r="G102" s="47" t="s">
        <v>258</v>
      </c>
      <c r="H102" s="46">
        <v>1</v>
      </c>
      <c r="I102" s="47" t="s">
        <v>259</v>
      </c>
      <c r="J102" s="44"/>
      <c r="K102" s="48">
        <v>6100</v>
      </c>
      <c r="L102" s="49">
        <v>0.13</v>
      </c>
      <c r="M102" s="50">
        <f t="shared" si="2"/>
        <v>6100</v>
      </c>
      <c r="N102" s="46" t="s">
        <v>73</v>
      </c>
      <c r="O102" s="45">
        <v>45876</v>
      </c>
      <c r="P102" s="53" t="s">
        <v>260</v>
      </c>
      <c r="Q102" s="32" t="str">
        <f>VLOOKUP(N102,[1]Sheet1!$F$1:$H$126,3,0)</f>
        <v>预付+即期</v>
      </c>
    </row>
    <row r="103" s="32" customFormat="1" spans="1:21">
      <c r="A103" s="44">
        <v>101</v>
      </c>
      <c r="B103" s="44"/>
      <c r="C103" s="44" t="s">
        <v>24</v>
      </c>
      <c r="D103" s="44"/>
      <c r="E103" s="45" t="s">
        <v>129</v>
      </c>
      <c r="F103" s="46" t="s">
        <v>261</v>
      </c>
      <c r="G103" s="47" t="s">
        <v>262</v>
      </c>
      <c r="H103" s="46">
        <v>52</v>
      </c>
      <c r="I103" s="47" t="s">
        <v>131</v>
      </c>
      <c r="J103" s="44"/>
      <c r="K103" s="48">
        <v>40</v>
      </c>
      <c r="L103" s="49">
        <v>0.13</v>
      </c>
      <c r="M103" s="50">
        <f t="shared" si="2"/>
        <v>2080</v>
      </c>
      <c r="N103" s="46" t="s">
        <v>145</v>
      </c>
      <c r="O103" s="45">
        <v>45880</v>
      </c>
      <c r="P103" s="53" t="s">
        <v>263</v>
      </c>
      <c r="Q103" s="32" t="str">
        <f>VLOOKUP(N103,[1]Sheet1!$F$1:$H$126,3,0)</f>
        <v>预付</v>
      </c>
    </row>
    <row r="104" s="32" customFormat="1" spans="1:21">
      <c r="A104" s="44">
        <v>102</v>
      </c>
      <c r="B104" s="44"/>
      <c r="C104" s="44" t="s">
        <v>24</v>
      </c>
      <c r="D104" s="44"/>
      <c r="E104" s="45" t="s">
        <v>129</v>
      </c>
      <c r="F104" s="46" t="s">
        <v>261</v>
      </c>
      <c r="G104" s="47" t="s">
        <v>264</v>
      </c>
      <c r="H104" s="46">
        <v>52</v>
      </c>
      <c r="I104" s="47" t="s">
        <v>131</v>
      </c>
      <c r="J104" s="44"/>
      <c r="K104" s="48">
        <v>10</v>
      </c>
      <c r="L104" s="49">
        <v>0.13</v>
      </c>
      <c r="M104" s="50">
        <f t="shared" si="2"/>
        <v>520</v>
      </c>
      <c r="N104" s="46" t="s">
        <v>145</v>
      </c>
      <c r="O104" s="45">
        <v>45881</v>
      </c>
      <c r="P104" s="53" t="s">
        <v>265</v>
      </c>
      <c r="Q104" s="32" t="str">
        <f>VLOOKUP(N104,[1]Sheet1!$F$1:$H$126,3,0)</f>
        <v>预付</v>
      </c>
    </row>
    <row r="105" s="32" customFormat="1" spans="1:21">
      <c r="A105" s="44">
        <v>103</v>
      </c>
      <c r="B105" s="44"/>
      <c r="C105" s="44" t="s">
        <v>24</v>
      </c>
      <c r="D105" s="44"/>
      <c r="E105" s="45" t="s">
        <v>129</v>
      </c>
      <c r="F105" s="46" t="s">
        <v>266</v>
      </c>
      <c r="G105" s="47" t="s">
        <v>267</v>
      </c>
      <c r="H105" s="46">
        <v>10</v>
      </c>
      <c r="I105" s="47" t="s">
        <v>109</v>
      </c>
      <c r="J105" s="44"/>
      <c r="K105" s="48">
        <v>111</v>
      </c>
      <c r="L105" s="49">
        <v>0.13</v>
      </c>
      <c r="M105" s="50">
        <f t="shared" si="2"/>
        <v>1110</v>
      </c>
      <c r="N105" s="59" t="s">
        <v>268</v>
      </c>
      <c r="O105" s="45">
        <v>45902</v>
      </c>
      <c r="P105" s="53" t="s">
        <v>269</v>
      </c>
      <c r="Q105" s="32" t="e">
        <f>VLOOKUP(N105,[1]Sheet1!$F$1:$H$126,3,0)</f>
        <v>#N/A</v>
      </c>
    </row>
    <row r="106" s="32" customFormat="1" spans="1:21">
      <c r="A106" s="44">
        <v>104</v>
      </c>
      <c r="B106" s="44"/>
      <c r="C106" s="44" t="s">
        <v>24</v>
      </c>
      <c r="D106" s="44"/>
      <c r="E106" s="45" t="s">
        <v>129</v>
      </c>
      <c r="F106" s="46" t="s">
        <v>266</v>
      </c>
      <c r="G106" s="47" t="s">
        <v>267</v>
      </c>
      <c r="H106" s="46">
        <v>10</v>
      </c>
      <c r="I106" s="47" t="s">
        <v>109</v>
      </c>
      <c r="J106" s="44"/>
      <c r="K106" s="48">
        <v>111</v>
      </c>
      <c r="L106" s="49">
        <v>0.13</v>
      </c>
      <c r="M106" s="50">
        <f t="shared" si="2"/>
        <v>1110</v>
      </c>
      <c r="N106" s="59" t="s">
        <v>268</v>
      </c>
      <c r="O106" s="45">
        <v>45908</v>
      </c>
      <c r="P106" s="53" t="s">
        <v>270</v>
      </c>
      <c r="Q106" s="32" t="e">
        <f>VLOOKUP(N106,[1]Sheet1!$F$1:$H$126,3,0)</f>
        <v>#N/A</v>
      </c>
    </row>
    <row r="107" s="32" customFormat="1" spans="1:21">
      <c r="A107" s="44">
        <v>105</v>
      </c>
      <c r="B107" s="44"/>
      <c r="C107" s="44" t="s">
        <v>24</v>
      </c>
      <c r="D107" s="44"/>
      <c r="E107" s="57" t="s">
        <v>129</v>
      </c>
      <c r="F107" s="46" t="s">
        <v>266</v>
      </c>
      <c r="G107" s="47" t="s">
        <v>267</v>
      </c>
      <c r="H107" s="46">
        <v>40</v>
      </c>
      <c r="I107" s="47" t="s">
        <v>109</v>
      </c>
      <c r="J107" s="44"/>
      <c r="K107" s="48">
        <v>40</v>
      </c>
      <c r="L107" s="49">
        <v>0.13</v>
      </c>
      <c r="M107" s="50">
        <f t="shared" si="2"/>
        <v>1600</v>
      </c>
      <c r="N107" s="46" t="s">
        <v>271</v>
      </c>
      <c r="O107" s="45">
        <v>45915</v>
      </c>
      <c r="P107" s="53" t="s">
        <v>272</v>
      </c>
      <c r="Q107" s="32" t="e">
        <f>VLOOKUP(N107,[1]Sheet1!$F$1:$H$126,3,0)</f>
        <v>#N/A</v>
      </c>
    </row>
    <row r="108" s="32" customFormat="1" spans="1:21">
      <c r="A108" s="44">
        <v>106</v>
      </c>
      <c r="B108" s="44"/>
      <c r="C108" s="44" t="s">
        <v>24</v>
      </c>
      <c r="D108" s="44"/>
      <c r="E108" s="45" t="s">
        <v>129</v>
      </c>
      <c r="F108" s="46" t="s">
        <v>50</v>
      </c>
      <c r="G108" s="47" t="s">
        <v>273</v>
      </c>
      <c r="H108" s="46">
        <v>51</v>
      </c>
      <c r="I108" s="47" t="s">
        <v>131</v>
      </c>
      <c r="J108" s="44"/>
      <c r="K108" s="48">
        <v>1000</v>
      </c>
      <c r="L108" s="49">
        <v>0.13</v>
      </c>
      <c r="M108" s="50">
        <f t="shared" si="2"/>
        <v>51000</v>
      </c>
      <c r="N108" s="46" t="s">
        <v>132</v>
      </c>
      <c r="O108" s="45">
        <v>45922</v>
      </c>
      <c r="P108" s="53" t="s">
        <v>274</v>
      </c>
      <c r="Q108" s="32" t="str">
        <f>VLOOKUP(N108,[1]Sheet1!$F$1:$H$126,3,0)</f>
        <v>预付</v>
      </c>
    </row>
    <row r="109" s="32" customFormat="1" spans="1:21">
      <c r="A109" s="44">
        <v>107</v>
      </c>
      <c r="B109" s="44"/>
      <c r="C109" s="44" t="s">
        <v>24</v>
      </c>
      <c r="D109" s="44"/>
      <c r="E109" s="45" t="s">
        <v>129</v>
      </c>
      <c r="F109" s="46" t="s">
        <v>275</v>
      </c>
      <c r="G109" s="47" t="s">
        <v>276</v>
      </c>
      <c r="H109" s="46">
        <v>50</v>
      </c>
      <c r="I109" s="47" t="s">
        <v>34</v>
      </c>
      <c r="J109" s="44"/>
      <c r="K109" s="48">
        <v>15</v>
      </c>
      <c r="L109" s="49">
        <v>0.13</v>
      </c>
      <c r="M109" s="50">
        <f t="shared" si="2"/>
        <v>750</v>
      </c>
      <c r="N109" s="46" t="s">
        <v>277</v>
      </c>
      <c r="O109" s="45">
        <v>45923</v>
      </c>
      <c r="P109" s="53" t="s">
        <v>278</v>
      </c>
      <c r="Q109" s="32" t="e">
        <f>VLOOKUP(N109,[1]Sheet1!$F$1:$H$126,3,0)</f>
        <v>#N/A</v>
      </c>
    </row>
    <row r="110" s="32" customFormat="1" spans="1:21">
      <c r="A110" s="44">
        <v>108</v>
      </c>
      <c r="B110" s="44"/>
      <c r="C110" s="44" t="s">
        <v>24</v>
      </c>
      <c r="D110" s="44"/>
      <c r="E110" s="57" t="s">
        <v>129</v>
      </c>
      <c r="F110" s="47" t="s">
        <v>261</v>
      </c>
      <c r="G110" s="60" t="s">
        <v>169</v>
      </c>
      <c r="H110" s="47">
        <v>69.68</v>
      </c>
      <c r="I110" s="47" t="s">
        <v>131</v>
      </c>
      <c r="J110" s="44"/>
      <c r="K110" s="48">
        <v>40</v>
      </c>
      <c r="L110" s="49">
        <v>0.13</v>
      </c>
      <c r="M110" s="50">
        <f t="shared" si="2"/>
        <v>2787.2</v>
      </c>
      <c r="N110" s="47" t="s">
        <v>145</v>
      </c>
      <c r="O110" s="57">
        <v>45928</v>
      </c>
      <c r="P110" s="61" t="s">
        <v>279</v>
      </c>
      <c r="Q110" s="32" t="str">
        <f>VLOOKUP(N110,[1]Sheet1!$F$1:$H$126,3,0)</f>
        <v>预付</v>
      </c>
    </row>
    <row r="111" s="32" customFormat="1" spans="1:21">
      <c r="A111" s="44">
        <v>109</v>
      </c>
      <c r="B111" s="44"/>
      <c r="C111" s="44" t="s">
        <v>24</v>
      </c>
      <c r="D111" s="44"/>
      <c r="E111" s="57" t="s">
        <v>129</v>
      </c>
      <c r="F111" s="47" t="s">
        <v>280</v>
      </c>
      <c r="G111" s="60" t="s">
        <v>281</v>
      </c>
      <c r="H111" s="47">
        <v>4</v>
      </c>
      <c r="I111" s="47" t="s">
        <v>282</v>
      </c>
      <c r="J111" s="44"/>
      <c r="K111" s="48">
        <v>350</v>
      </c>
      <c r="L111" s="49">
        <v>0.13</v>
      </c>
      <c r="M111" s="50">
        <f t="shared" si="2"/>
        <v>1400</v>
      </c>
      <c r="N111" s="47" t="s">
        <v>160</v>
      </c>
      <c r="O111" s="57">
        <v>45928</v>
      </c>
      <c r="P111" s="61"/>
      <c r="Q111" s="32" t="str">
        <f>VLOOKUP(N111,[1]Sheet1!$F$1:$H$126,3,0)</f>
        <v>即期</v>
      </c>
    </row>
    <row r="112" s="32" customFormat="1" spans="1:21">
      <c r="A112" s="44">
        <v>110</v>
      </c>
      <c r="B112" s="44"/>
      <c r="C112" s="44" t="s">
        <v>24</v>
      </c>
      <c r="D112" s="44"/>
      <c r="E112" s="45" t="s">
        <v>129</v>
      </c>
      <c r="F112" s="46" t="s">
        <v>32</v>
      </c>
      <c r="G112" s="47" t="s">
        <v>283</v>
      </c>
      <c r="H112" s="46">
        <v>2</v>
      </c>
      <c r="I112" s="47" t="s">
        <v>259</v>
      </c>
      <c r="J112" s="44"/>
      <c r="K112" s="48">
        <v>6806</v>
      </c>
      <c r="L112" s="49">
        <v>0.13</v>
      </c>
      <c r="M112" s="50">
        <f t="shared" si="2"/>
        <v>13612</v>
      </c>
      <c r="N112" s="47" t="s">
        <v>73</v>
      </c>
      <c r="O112" s="45">
        <v>45939</v>
      </c>
      <c r="P112" s="53" t="s">
        <v>284</v>
      </c>
      <c r="Q112" s="32" t="str">
        <f>VLOOKUP(N112,[1]Sheet1!$F$1:$H$126,3,0)</f>
        <v>预付+即期</v>
      </c>
    </row>
    <row r="113" s="32" customFormat="1" spans="1:17">
      <c r="A113" s="44">
        <v>111</v>
      </c>
      <c r="B113" s="44"/>
      <c r="C113" s="44" t="s">
        <v>24</v>
      </c>
      <c r="D113" s="44"/>
      <c r="E113" s="57" t="s">
        <v>129</v>
      </c>
      <c r="F113" s="46" t="s">
        <v>285</v>
      </c>
      <c r="G113" s="47"/>
      <c r="H113" s="46">
        <v>76.7</v>
      </c>
      <c r="I113" s="47" t="s">
        <v>58</v>
      </c>
      <c r="J113" s="44"/>
      <c r="K113" s="48">
        <v>42.43</v>
      </c>
      <c r="L113" s="49">
        <v>0.13</v>
      </c>
      <c r="M113" s="50">
        <f t="shared" si="2"/>
        <v>3254.381</v>
      </c>
      <c r="N113" s="46" t="s">
        <v>286</v>
      </c>
      <c r="O113" s="57">
        <v>45952</v>
      </c>
      <c r="P113" s="53" t="s">
        <v>287</v>
      </c>
      <c r="Q113" s="32" t="e">
        <f>VLOOKUP(N113,[1]Sheet1!$F$1:$H$126,3,0)</f>
        <v>#N/A</v>
      </c>
    </row>
    <row r="114" s="32" customFormat="1" spans="1:17">
      <c r="A114" s="44">
        <v>112</v>
      </c>
      <c r="B114" s="44"/>
      <c r="C114" s="44" t="s">
        <v>24</v>
      </c>
      <c r="D114" s="44"/>
      <c r="E114" s="57" t="s">
        <v>129</v>
      </c>
      <c r="F114" s="46" t="s">
        <v>288</v>
      </c>
      <c r="G114" s="47" t="s">
        <v>289</v>
      </c>
      <c r="H114" s="46">
        <v>1</v>
      </c>
      <c r="I114" s="47" t="s">
        <v>58</v>
      </c>
      <c r="J114" s="44"/>
      <c r="K114" s="48">
        <v>900</v>
      </c>
      <c r="L114" s="49">
        <v>0.13</v>
      </c>
      <c r="M114" s="50">
        <f t="shared" si="2"/>
        <v>900</v>
      </c>
      <c r="N114" s="47" t="s">
        <v>290</v>
      </c>
      <c r="O114" s="57">
        <v>45955</v>
      </c>
      <c r="P114" s="61" t="s">
        <v>291</v>
      </c>
      <c r="Q114" s="32" t="e">
        <f>VLOOKUP(N114,[1]Sheet1!$F$1:$H$126,3,0)</f>
        <v>#N/A</v>
      </c>
    </row>
    <row r="115" s="32" customFormat="1" spans="1:17">
      <c r="A115" s="44">
        <v>113</v>
      </c>
      <c r="B115" s="44"/>
      <c r="C115" s="44" t="s">
        <v>24</v>
      </c>
      <c r="D115" s="44"/>
      <c r="E115" s="57"/>
      <c r="F115" s="46" t="s">
        <v>292</v>
      </c>
      <c r="G115" s="47" t="s">
        <v>293</v>
      </c>
      <c r="H115" s="46">
        <v>0.1</v>
      </c>
      <c r="I115" s="47"/>
      <c r="J115" s="44"/>
      <c r="K115" s="48">
        <v>500</v>
      </c>
      <c r="L115" s="49">
        <v>0.13</v>
      </c>
      <c r="M115" s="50">
        <f t="shared" si="2"/>
        <v>50</v>
      </c>
      <c r="N115" s="47"/>
      <c r="O115" s="57"/>
      <c r="P115" s="61"/>
      <c r="Q115" s="32" t="e">
        <f>VLOOKUP(N115,[1]Sheet1!$F$1:$H$126,3,0)</f>
        <v>#N/A</v>
      </c>
    </row>
    <row r="116" s="32" customFormat="1" spans="1:17">
      <c r="A116" s="44">
        <v>114</v>
      </c>
      <c r="B116" s="44"/>
      <c r="C116" s="44" t="s">
        <v>24</v>
      </c>
      <c r="D116" s="44"/>
      <c r="E116" s="57"/>
      <c r="F116" s="46" t="s">
        <v>294</v>
      </c>
      <c r="G116" s="47" t="s">
        <v>295</v>
      </c>
      <c r="H116" s="46">
        <v>0.1</v>
      </c>
      <c r="I116" s="47"/>
      <c r="J116" s="44"/>
      <c r="K116" s="48">
        <v>1500</v>
      </c>
      <c r="L116" s="49">
        <v>0.13</v>
      </c>
      <c r="M116" s="50">
        <f t="shared" si="2"/>
        <v>150</v>
      </c>
      <c r="N116" s="47"/>
      <c r="O116" s="57"/>
      <c r="P116" s="61"/>
      <c r="Q116" s="32" t="e">
        <f>VLOOKUP(N116,[1]Sheet1!$F$1:$H$126,3,0)</f>
        <v>#N/A</v>
      </c>
    </row>
    <row r="117" s="32" customFormat="1" spans="1:17">
      <c r="A117" s="44">
        <v>115</v>
      </c>
      <c r="B117" s="44"/>
      <c r="C117" s="44" t="s">
        <v>24</v>
      </c>
      <c r="D117" s="44"/>
      <c r="E117" s="57"/>
      <c r="F117" s="46" t="s">
        <v>288</v>
      </c>
      <c r="G117" s="47" t="s">
        <v>296</v>
      </c>
      <c r="H117" s="46">
        <v>1</v>
      </c>
      <c r="I117" s="47"/>
      <c r="J117" s="44"/>
      <c r="K117" s="48">
        <v>900</v>
      </c>
      <c r="L117" s="49">
        <v>0.13</v>
      </c>
      <c r="M117" s="50">
        <f t="shared" si="2"/>
        <v>900</v>
      </c>
      <c r="N117" s="47"/>
      <c r="O117" s="57"/>
      <c r="P117" s="61"/>
      <c r="Q117" s="32" t="e">
        <f>VLOOKUP(N117,[1]Sheet1!$F$1:$H$126,3,0)</f>
        <v>#N/A</v>
      </c>
    </row>
    <row r="118" s="32" customFormat="1" spans="1:17">
      <c r="A118" s="44">
        <v>116</v>
      </c>
      <c r="B118" s="44"/>
      <c r="C118" s="44" t="s">
        <v>24</v>
      </c>
      <c r="D118" s="44"/>
      <c r="E118" s="57" t="s">
        <v>129</v>
      </c>
      <c r="F118" s="46" t="s">
        <v>266</v>
      </c>
      <c r="G118" s="47" t="s">
        <v>267</v>
      </c>
      <c r="H118" s="46">
        <v>24</v>
      </c>
      <c r="I118" s="47" t="s">
        <v>109</v>
      </c>
      <c r="J118" s="44"/>
      <c r="K118" s="48">
        <v>40</v>
      </c>
      <c r="L118" s="49">
        <v>0.13</v>
      </c>
      <c r="M118" s="50">
        <f t="shared" si="2"/>
        <v>960</v>
      </c>
      <c r="N118" s="46" t="s">
        <v>271</v>
      </c>
      <c r="O118" s="57">
        <v>45957</v>
      </c>
      <c r="P118" s="53" t="s">
        <v>297</v>
      </c>
      <c r="Q118" s="32" t="e">
        <f>VLOOKUP(N118,[1]Sheet1!$F$1:$H$126,3,0)</f>
        <v>#N/A</v>
      </c>
    </row>
    <row r="119" s="32" customFormat="1" spans="1:17">
      <c r="A119" s="44">
        <v>117</v>
      </c>
      <c r="B119" s="44"/>
      <c r="C119" s="44" t="s">
        <v>24</v>
      </c>
      <c r="D119" s="44"/>
      <c r="E119" s="57" t="s">
        <v>129</v>
      </c>
      <c r="F119" s="46" t="s">
        <v>298</v>
      </c>
      <c r="G119" s="47" t="s">
        <v>299</v>
      </c>
      <c r="H119" s="46">
        <v>6</v>
      </c>
      <c r="I119" s="47" t="s">
        <v>58</v>
      </c>
      <c r="J119" s="44"/>
      <c r="K119" s="48">
        <v>220</v>
      </c>
      <c r="L119" s="49">
        <v>0.13</v>
      </c>
      <c r="M119" s="50">
        <f t="shared" ref="M119:M154" si="3">K119*H119</f>
        <v>1320</v>
      </c>
      <c r="N119" s="47" t="s">
        <v>300</v>
      </c>
      <c r="O119" s="57">
        <v>45967</v>
      </c>
      <c r="P119" s="53" t="s">
        <v>301</v>
      </c>
      <c r="Q119" s="32" t="e">
        <f>VLOOKUP(N119,[1]Sheet1!$F$1:$H$126,3,0)</f>
        <v>#N/A</v>
      </c>
    </row>
    <row r="120" s="32" customFormat="1" spans="1:17">
      <c r="A120" s="44">
        <v>118</v>
      </c>
      <c r="B120" s="44"/>
      <c r="C120" s="44" t="s">
        <v>24</v>
      </c>
      <c r="D120" s="44"/>
      <c r="E120" s="57"/>
      <c r="F120" s="46" t="s">
        <v>292</v>
      </c>
      <c r="G120" s="47" t="s">
        <v>302</v>
      </c>
      <c r="H120" s="46">
        <v>0.3</v>
      </c>
      <c r="I120" s="47" t="s">
        <v>58</v>
      </c>
      <c r="J120" s="44"/>
      <c r="K120" s="48">
        <v>450</v>
      </c>
      <c r="L120" s="49">
        <v>0.13</v>
      </c>
      <c r="M120" s="50">
        <f t="shared" si="3"/>
        <v>135</v>
      </c>
      <c r="N120" s="47"/>
      <c r="O120" s="57"/>
      <c r="P120" s="53"/>
      <c r="Q120" s="32" t="e">
        <f>VLOOKUP(N120,[1]Sheet1!$F$1:$H$126,3,0)</f>
        <v>#N/A</v>
      </c>
    </row>
    <row r="121" s="32" customFormat="1" spans="1:17">
      <c r="A121" s="44">
        <v>119</v>
      </c>
      <c r="B121" s="44"/>
      <c r="C121" s="44" t="s">
        <v>24</v>
      </c>
      <c r="D121" s="44"/>
      <c r="E121" s="57" t="s">
        <v>129</v>
      </c>
      <c r="F121" s="46" t="s">
        <v>303</v>
      </c>
      <c r="G121" s="47" t="s">
        <v>304</v>
      </c>
      <c r="H121" s="46">
        <v>16.5</v>
      </c>
      <c r="I121" s="47" t="s">
        <v>131</v>
      </c>
      <c r="J121" s="44"/>
      <c r="K121" s="48">
        <v>26</v>
      </c>
      <c r="L121" s="49">
        <v>0.13</v>
      </c>
      <c r="M121" s="50">
        <f t="shared" si="3"/>
        <v>429</v>
      </c>
      <c r="N121" s="46" t="s">
        <v>305</v>
      </c>
      <c r="O121" s="57">
        <v>45966</v>
      </c>
      <c r="P121" s="53" t="s">
        <v>306</v>
      </c>
      <c r="Q121" s="32" t="e">
        <f>VLOOKUP(N121,[1]Sheet1!$F$1:$H$126,3,0)</f>
        <v>#N/A</v>
      </c>
    </row>
    <row r="122" s="32" customFormat="1" spans="1:17">
      <c r="A122" s="44">
        <v>120</v>
      </c>
      <c r="B122" s="44"/>
      <c r="C122" s="44" t="s">
        <v>24</v>
      </c>
      <c r="D122" s="44"/>
      <c r="E122" s="45" t="s">
        <v>129</v>
      </c>
      <c r="F122" s="46" t="s">
        <v>307</v>
      </c>
      <c r="G122" s="47" t="s">
        <v>308</v>
      </c>
      <c r="H122" s="46">
        <v>2</v>
      </c>
      <c r="I122" s="47" t="s">
        <v>109</v>
      </c>
      <c r="J122" s="44"/>
      <c r="K122" s="48">
        <v>200</v>
      </c>
      <c r="L122" s="49">
        <v>0.13</v>
      </c>
      <c r="M122" s="50">
        <f t="shared" si="3"/>
        <v>400</v>
      </c>
      <c r="N122" s="46" t="s">
        <v>309</v>
      </c>
      <c r="O122" s="57">
        <v>45915</v>
      </c>
      <c r="P122" s="53" t="s">
        <v>310</v>
      </c>
      <c r="Q122" s="32" t="str">
        <f>VLOOKUP(N122,[1]Sheet1!$F$1:$H$126,3,0)</f>
        <v>预付</v>
      </c>
    </row>
    <row r="123" s="32" customFormat="1" spans="1:17">
      <c r="A123" s="44">
        <v>121</v>
      </c>
      <c r="B123" s="44"/>
      <c r="C123" s="44" t="s">
        <v>24</v>
      </c>
      <c r="D123" s="44"/>
      <c r="E123" s="45" t="s">
        <v>129</v>
      </c>
      <c r="F123" s="46" t="s">
        <v>311</v>
      </c>
      <c r="G123" s="47"/>
      <c r="H123" s="46">
        <v>5</v>
      </c>
      <c r="I123" s="47" t="s">
        <v>202</v>
      </c>
      <c r="J123" s="44"/>
      <c r="K123" s="48">
        <v>83</v>
      </c>
      <c r="L123" s="49">
        <v>0.13</v>
      </c>
      <c r="M123" s="50">
        <f t="shared" si="3"/>
        <v>415</v>
      </c>
      <c r="N123" s="46" t="s">
        <v>312</v>
      </c>
      <c r="O123" s="57">
        <v>45969</v>
      </c>
      <c r="P123" s="53" t="s">
        <v>313</v>
      </c>
      <c r="Q123" s="32" t="e">
        <f>VLOOKUP(N123,[1]Sheet1!$F$1:$H$126,3,0)</f>
        <v>#N/A</v>
      </c>
    </row>
    <row r="124" s="32" customFormat="1" spans="1:17">
      <c r="A124" s="44">
        <v>122</v>
      </c>
      <c r="B124" s="44"/>
      <c r="C124" s="44" t="s">
        <v>24</v>
      </c>
      <c r="D124" s="44"/>
      <c r="E124" s="57" t="s">
        <v>129</v>
      </c>
      <c r="F124" s="46" t="s">
        <v>314</v>
      </c>
      <c r="G124" s="47" t="s">
        <v>315</v>
      </c>
      <c r="H124" s="46">
        <v>1</v>
      </c>
      <c r="I124" s="47" t="s">
        <v>316</v>
      </c>
      <c r="J124" s="44"/>
      <c r="K124" s="48">
        <v>500</v>
      </c>
      <c r="L124" s="49">
        <v>0.13</v>
      </c>
      <c r="M124" s="50">
        <f t="shared" si="3"/>
        <v>500</v>
      </c>
      <c r="N124" s="47" t="s">
        <v>300</v>
      </c>
      <c r="O124" s="57">
        <v>45972</v>
      </c>
      <c r="P124" s="53" t="s">
        <v>317</v>
      </c>
      <c r="Q124" s="32" t="e">
        <f>VLOOKUP(N124,[1]Sheet1!$F$1:$H$126,3,0)</f>
        <v>#N/A</v>
      </c>
    </row>
    <row r="125" s="32" customFormat="1" spans="1:17">
      <c r="A125" s="44">
        <v>123</v>
      </c>
      <c r="B125" s="44"/>
      <c r="C125" s="44" t="s">
        <v>24</v>
      </c>
      <c r="D125" s="44"/>
      <c r="E125" s="57" t="s">
        <v>129</v>
      </c>
      <c r="F125" s="47" t="s">
        <v>318</v>
      </c>
      <c r="G125" s="47" t="s">
        <v>319</v>
      </c>
      <c r="H125" s="46">
        <v>24</v>
      </c>
      <c r="I125" s="47" t="s">
        <v>131</v>
      </c>
      <c r="J125" s="44"/>
      <c r="K125" s="62">
        <v>33.9</v>
      </c>
      <c r="L125" s="49">
        <v>0.13</v>
      </c>
      <c r="M125" s="50">
        <f t="shared" si="3"/>
        <v>813.6</v>
      </c>
      <c r="N125" s="47" t="s">
        <v>320</v>
      </c>
      <c r="O125" s="57">
        <v>45973</v>
      </c>
      <c r="P125" s="53" t="s">
        <v>321</v>
      </c>
      <c r="Q125" s="32" t="e">
        <f>VLOOKUP(N125,[1]Sheet1!$F$1:$H$126,3,0)</f>
        <v>#N/A</v>
      </c>
    </row>
    <row r="126" s="32" customFormat="1" spans="1:17">
      <c r="A126" s="44">
        <v>124</v>
      </c>
      <c r="B126" s="44"/>
      <c r="C126" s="44" t="s">
        <v>24</v>
      </c>
      <c r="D126" s="44"/>
      <c r="E126" s="57" t="s">
        <v>129</v>
      </c>
      <c r="F126" s="46" t="s">
        <v>311</v>
      </c>
      <c r="G126" s="47"/>
      <c r="H126" s="46">
        <v>3</v>
      </c>
      <c r="I126" s="47" t="s">
        <v>202</v>
      </c>
      <c r="J126" s="44"/>
      <c r="K126" s="48">
        <v>83</v>
      </c>
      <c r="L126" s="49">
        <v>0.13</v>
      </c>
      <c r="M126" s="50">
        <f t="shared" si="3"/>
        <v>249</v>
      </c>
      <c r="N126" s="46" t="s">
        <v>312</v>
      </c>
      <c r="O126" s="45">
        <v>45980</v>
      </c>
      <c r="P126" s="53" t="s">
        <v>322</v>
      </c>
      <c r="Q126" s="32" t="e">
        <f>VLOOKUP(N126,[1]Sheet1!$F$1:$H$126,3,0)</f>
        <v>#N/A</v>
      </c>
    </row>
    <row r="127" s="32" customFormat="1" spans="1:17">
      <c r="A127" s="44">
        <v>125</v>
      </c>
      <c r="B127" s="44"/>
      <c r="C127" s="44" t="s">
        <v>24</v>
      </c>
      <c r="D127" s="44"/>
      <c r="E127" s="57" t="s">
        <v>129</v>
      </c>
      <c r="F127" s="46" t="s">
        <v>323</v>
      </c>
      <c r="G127" s="47" t="s">
        <v>324</v>
      </c>
      <c r="H127" s="46">
        <v>300</v>
      </c>
      <c r="I127" s="47"/>
      <c r="J127" s="44"/>
      <c r="K127" s="48">
        <v>27.59</v>
      </c>
      <c r="L127" s="49">
        <v>0.13</v>
      </c>
      <c r="M127" s="50">
        <f t="shared" si="3"/>
        <v>8277</v>
      </c>
      <c r="N127" s="46" t="s">
        <v>325</v>
      </c>
      <c r="O127" s="45">
        <v>45980</v>
      </c>
      <c r="P127" s="53" t="s">
        <v>326</v>
      </c>
      <c r="Q127" s="32" t="e">
        <f>VLOOKUP(N127,[1]Sheet1!$F$1:$H$126,3,0)</f>
        <v>#N/A</v>
      </c>
    </row>
    <row r="128" s="32" customFormat="1" spans="1:17">
      <c r="A128" s="44">
        <v>126</v>
      </c>
      <c r="B128" s="44"/>
      <c r="C128" s="44" t="s">
        <v>24</v>
      </c>
      <c r="D128" s="44"/>
      <c r="E128" s="57" t="s">
        <v>129</v>
      </c>
      <c r="F128" s="46" t="s">
        <v>327</v>
      </c>
      <c r="G128" s="47" t="s">
        <v>328</v>
      </c>
      <c r="H128" s="46">
        <v>1</v>
      </c>
      <c r="I128" s="47" t="s">
        <v>58</v>
      </c>
      <c r="J128" s="44"/>
      <c r="K128" s="48">
        <v>450</v>
      </c>
      <c r="L128" s="49">
        <v>0.13</v>
      </c>
      <c r="M128" s="50">
        <f t="shared" si="3"/>
        <v>450</v>
      </c>
      <c r="N128" s="47" t="s">
        <v>300</v>
      </c>
      <c r="O128" s="45">
        <v>45982</v>
      </c>
      <c r="P128" s="53" t="s">
        <v>329</v>
      </c>
      <c r="Q128" s="32" t="e">
        <f>VLOOKUP(N128,[1]Sheet1!$F$1:$H$126,3,0)</f>
        <v>#N/A</v>
      </c>
    </row>
    <row r="129" s="32" customFormat="1" spans="1:17">
      <c r="A129" s="44">
        <v>127</v>
      </c>
      <c r="B129" s="44"/>
      <c r="C129" s="44" t="s">
        <v>24</v>
      </c>
      <c r="D129" s="44"/>
      <c r="E129" s="57" t="s">
        <v>129</v>
      </c>
      <c r="F129" s="46" t="s">
        <v>330</v>
      </c>
      <c r="G129" s="47" t="s">
        <v>331</v>
      </c>
      <c r="H129" s="46">
        <v>52</v>
      </c>
      <c r="I129" s="47" t="s">
        <v>131</v>
      </c>
      <c r="J129" s="44"/>
      <c r="K129" s="48">
        <v>20</v>
      </c>
      <c r="L129" s="49">
        <v>0.13</v>
      </c>
      <c r="M129" s="50">
        <f t="shared" si="3"/>
        <v>1040</v>
      </c>
      <c r="N129" s="47" t="s">
        <v>145</v>
      </c>
      <c r="O129" s="45">
        <v>45982</v>
      </c>
      <c r="P129" s="53" t="s">
        <v>332</v>
      </c>
      <c r="Q129" s="32" t="str">
        <f>VLOOKUP(N129,[1]Sheet1!$F$1:$H$126,3,0)</f>
        <v>预付</v>
      </c>
    </row>
    <row r="130" s="32" customFormat="1" spans="1:17">
      <c r="A130" s="44">
        <v>128</v>
      </c>
      <c r="B130" s="44"/>
      <c r="C130" s="44" t="s">
        <v>24</v>
      </c>
      <c r="D130" s="44"/>
      <c r="E130" s="57" t="s">
        <v>129</v>
      </c>
      <c r="F130" s="46" t="s">
        <v>333</v>
      </c>
      <c r="G130" s="47" t="s">
        <v>334</v>
      </c>
      <c r="H130" s="46">
        <v>5</v>
      </c>
      <c r="I130" s="47" t="s">
        <v>46</v>
      </c>
      <c r="J130" s="44"/>
      <c r="K130" s="48">
        <v>1655</v>
      </c>
      <c r="L130" s="49">
        <v>0.13</v>
      </c>
      <c r="M130" s="50">
        <f t="shared" si="3"/>
        <v>8275</v>
      </c>
      <c r="N130" s="46" t="s">
        <v>335</v>
      </c>
      <c r="O130" s="45">
        <v>45981</v>
      </c>
      <c r="P130" s="53" t="s">
        <v>336</v>
      </c>
      <c r="Q130" s="32" t="e">
        <f>VLOOKUP(N130,[1]Sheet1!$F$1:$H$126,3,0)</f>
        <v>#N/A</v>
      </c>
    </row>
    <row r="131" s="32" customFormat="1" spans="1:17">
      <c r="A131" s="44">
        <v>129</v>
      </c>
      <c r="B131" s="44"/>
      <c r="C131" s="44" t="s">
        <v>24</v>
      </c>
      <c r="D131" s="44"/>
      <c r="E131" s="57" t="s">
        <v>129</v>
      </c>
      <c r="F131" s="46" t="s">
        <v>327</v>
      </c>
      <c r="G131" s="47" t="s">
        <v>328</v>
      </c>
      <c r="H131" s="46">
        <v>1</v>
      </c>
      <c r="I131" s="47" t="s">
        <v>58</v>
      </c>
      <c r="J131" s="44"/>
      <c r="K131" s="48">
        <v>450</v>
      </c>
      <c r="L131" s="49">
        <v>0.13</v>
      </c>
      <c r="M131" s="50">
        <f t="shared" si="3"/>
        <v>450</v>
      </c>
      <c r="N131" s="47" t="s">
        <v>300</v>
      </c>
      <c r="O131" s="45">
        <v>45982</v>
      </c>
      <c r="P131" s="53" t="s">
        <v>329</v>
      </c>
      <c r="Q131" s="32" t="e">
        <f>VLOOKUP(N131,[1]Sheet1!$F$1:$H$126,3,0)</f>
        <v>#N/A</v>
      </c>
    </row>
    <row r="132" s="32" customFormat="1" spans="1:17">
      <c r="A132" s="44">
        <v>130</v>
      </c>
      <c r="B132" s="44"/>
      <c r="C132" s="44" t="s">
        <v>24</v>
      </c>
      <c r="D132" s="44"/>
      <c r="E132" s="57" t="s">
        <v>129</v>
      </c>
      <c r="F132" s="46" t="s">
        <v>337</v>
      </c>
      <c r="G132" s="47" t="s">
        <v>338</v>
      </c>
      <c r="H132" s="46">
        <v>100</v>
      </c>
      <c r="I132" s="47" t="s">
        <v>109</v>
      </c>
      <c r="J132" s="44"/>
      <c r="K132" s="48">
        <v>500</v>
      </c>
      <c r="L132" s="49">
        <v>0.13</v>
      </c>
      <c r="M132" s="50">
        <f t="shared" si="3"/>
        <v>50000</v>
      </c>
      <c r="N132" s="47" t="s">
        <v>339</v>
      </c>
      <c r="O132" s="57">
        <v>45987</v>
      </c>
      <c r="P132" s="61" t="s">
        <v>340</v>
      </c>
      <c r="Q132" s="32" t="e">
        <f>VLOOKUP(N132,[1]Sheet1!$F$1:$H$126,3,0)</f>
        <v>#N/A</v>
      </c>
    </row>
    <row r="133" s="32" customFormat="1" spans="1:17">
      <c r="A133" s="44">
        <v>131</v>
      </c>
      <c r="B133" s="44"/>
      <c r="C133" s="44" t="s">
        <v>24</v>
      </c>
      <c r="D133" s="44"/>
      <c r="E133" s="57"/>
      <c r="F133" s="46" t="s">
        <v>341</v>
      </c>
      <c r="G133" s="47" t="s">
        <v>342</v>
      </c>
      <c r="H133" s="46">
        <v>20</v>
      </c>
      <c r="I133" s="47" t="s">
        <v>58</v>
      </c>
      <c r="J133" s="44"/>
      <c r="K133" s="48">
        <v>2500</v>
      </c>
      <c r="L133" s="49">
        <v>0.13</v>
      </c>
      <c r="M133" s="50">
        <f t="shared" si="3"/>
        <v>50000</v>
      </c>
      <c r="N133" s="47"/>
      <c r="O133" s="57"/>
      <c r="P133" s="61"/>
      <c r="Q133" s="32" t="e">
        <f>VLOOKUP(N133,[1]Sheet1!$F$1:$H$126,3,0)</f>
        <v>#N/A</v>
      </c>
    </row>
    <row r="134" s="32" customFormat="1" spans="1:17">
      <c r="A134" s="44">
        <v>132</v>
      </c>
      <c r="B134" s="44"/>
      <c r="C134" s="44" t="s">
        <v>24</v>
      </c>
      <c r="D134" s="44"/>
      <c r="E134" s="57" t="s">
        <v>129</v>
      </c>
      <c r="F134" s="46" t="s">
        <v>343</v>
      </c>
      <c r="G134" s="47" t="s">
        <v>344</v>
      </c>
      <c r="H134" s="46">
        <v>1</v>
      </c>
      <c r="I134" s="47" t="s">
        <v>58</v>
      </c>
      <c r="J134" s="44"/>
      <c r="K134" s="48">
        <v>860</v>
      </c>
      <c r="L134" s="49">
        <v>0.13</v>
      </c>
      <c r="M134" s="50">
        <f t="shared" si="3"/>
        <v>860</v>
      </c>
      <c r="N134" s="46" t="s">
        <v>149</v>
      </c>
      <c r="O134" s="57">
        <v>45988</v>
      </c>
      <c r="P134" s="61" t="s">
        <v>345</v>
      </c>
      <c r="Q134" s="32" t="str">
        <f>VLOOKUP(N134,[1]Sheet1!$F$1:$H$126,3,0)</f>
        <v>现金</v>
      </c>
    </row>
    <row r="135" s="32" customFormat="1" spans="1:17">
      <c r="A135" s="44">
        <v>133</v>
      </c>
      <c r="B135" s="44"/>
      <c r="C135" s="44" t="s">
        <v>24</v>
      </c>
      <c r="D135" s="44"/>
      <c r="E135" s="57" t="s">
        <v>129</v>
      </c>
      <c r="F135" s="46" t="s">
        <v>346</v>
      </c>
      <c r="G135" s="47" t="s">
        <v>347</v>
      </c>
      <c r="H135" s="46">
        <v>100</v>
      </c>
      <c r="I135" s="47" t="s">
        <v>348</v>
      </c>
      <c r="J135" s="44"/>
      <c r="K135" s="48">
        <v>18</v>
      </c>
      <c r="L135" s="49">
        <v>0.13</v>
      </c>
      <c r="M135" s="50">
        <f t="shared" si="3"/>
        <v>1800</v>
      </c>
      <c r="N135" s="46" t="s">
        <v>349</v>
      </c>
      <c r="O135" s="57">
        <v>45992</v>
      </c>
      <c r="P135" s="61" t="s">
        <v>350</v>
      </c>
      <c r="Q135" s="32" t="e">
        <f>VLOOKUP(N135,[1]Sheet1!$F$1:$H$126,3,0)</f>
        <v>#N/A</v>
      </c>
    </row>
    <row r="136" s="32" customFormat="1" spans="1:17">
      <c r="A136" s="44">
        <v>134</v>
      </c>
      <c r="B136" s="44"/>
      <c r="C136" s="44" t="s">
        <v>24</v>
      </c>
      <c r="D136" s="44"/>
      <c r="E136" s="57" t="s">
        <v>129</v>
      </c>
      <c r="F136" s="46" t="s">
        <v>351</v>
      </c>
      <c r="G136" s="47" t="s">
        <v>352</v>
      </c>
      <c r="H136" s="46">
        <v>138</v>
      </c>
      <c r="I136" s="47" t="s">
        <v>109</v>
      </c>
      <c r="J136" s="44"/>
      <c r="K136" s="48">
        <v>32.7872</v>
      </c>
      <c r="L136" s="49">
        <v>0.13</v>
      </c>
      <c r="M136" s="50">
        <f t="shared" si="3"/>
        <v>4524.6336</v>
      </c>
      <c r="N136" s="47" t="s">
        <v>325</v>
      </c>
      <c r="O136" s="57">
        <v>45993</v>
      </c>
      <c r="P136" s="61" t="s">
        <v>353</v>
      </c>
      <c r="Q136" s="32" t="e">
        <f>VLOOKUP(N136,[1]Sheet1!$F$1:$H$126,3,0)</f>
        <v>#N/A</v>
      </c>
    </row>
    <row r="137" s="32" customFormat="1" spans="1:17">
      <c r="A137" s="44">
        <v>135</v>
      </c>
      <c r="B137" s="44"/>
      <c r="C137" s="44" t="s">
        <v>24</v>
      </c>
      <c r="D137" s="44"/>
      <c r="E137" s="57"/>
      <c r="F137" s="46" t="s">
        <v>354</v>
      </c>
      <c r="G137" s="47" t="s">
        <v>352</v>
      </c>
      <c r="H137" s="46">
        <v>138</v>
      </c>
      <c r="I137" s="47"/>
      <c r="J137" s="44"/>
      <c r="K137" s="48">
        <v>32.7872</v>
      </c>
      <c r="L137" s="49">
        <v>0.13</v>
      </c>
      <c r="M137" s="50">
        <f t="shared" si="3"/>
        <v>4524.6336</v>
      </c>
      <c r="N137" s="47"/>
      <c r="O137" s="57"/>
      <c r="P137" s="61"/>
      <c r="Q137" s="32" t="e">
        <f>VLOOKUP(N137,[1]Sheet1!$F$1:$H$126,3,0)</f>
        <v>#N/A</v>
      </c>
    </row>
    <row r="138" s="32" customFormat="1" spans="1:17">
      <c r="A138" s="44">
        <v>136</v>
      </c>
      <c r="B138" s="44"/>
      <c r="C138" s="44" t="s">
        <v>24</v>
      </c>
      <c r="D138" s="44"/>
      <c r="E138" s="57" t="s">
        <v>129</v>
      </c>
      <c r="F138" s="46" t="s">
        <v>355</v>
      </c>
      <c r="G138" s="47" t="s">
        <v>356</v>
      </c>
      <c r="H138" s="46">
        <v>170</v>
      </c>
      <c r="I138" s="47" t="s">
        <v>236</v>
      </c>
      <c r="J138" s="44"/>
      <c r="K138" s="46">
        <v>0.146</v>
      </c>
      <c r="L138" s="49">
        <v>0.13</v>
      </c>
      <c r="M138" s="50">
        <f t="shared" si="3"/>
        <v>24.82</v>
      </c>
      <c r="N138" s="47" t="s">
        <v>357</v>
      </c>
      <c r="O138" s="57">
        <v>45994</v>
      </c>
      <c r="P138" s="61" t="s">
        <v>358</v>
      </c>
      <c r="Q138" s="32" t="e">
        <f>VLOOKUP(N138,[1]Sheet1!$F$1:$H$126,3,0)</f>
        <v>#N/A</v>
      </c>
    </row>
    <row r="139" s="32" customFormat="1" spans="1:17">
      <c r="A139" s="44">
        <v>137</v>
      </c>
      <c r="B139" s="44"/>
      <c r="C139" s="44" t="s">
        <v>24</v>
      </c>
      <c r="D139" s="44"/>
      <c r="E139" s="57"/>
      <c r="F139" s="46" t="s">
        <v>359</v>
      </c>
      <c r="G139" s="47" t="s">
        <v>356</v>
      </c>
      <c r="H139" s="46">
        <v>170</v>
      </c>
      <c r="I139" s="47" t="s">
        <v>236</v>
      </c>
      <c r="J139" s="44"/>
      <c r="K139" s="46">
        <v>0.146</v>
      </c>
      <c r="L139" s="49">
        <v>0.13</v>
      </c>
      <c r="M139" s="50">
        <f t="shared" si="3"/>
        <v>24.82</v>
      </c>
      <c r="N139" s="47"/>
      <c r="O139" s="57"/>
      <c r="P139" s="61"/>
      <c r="Q139" s="32" t="e">
        <f>VLOOKUP(N139,[1]Sheet1!$F$1:$H$126,3,0)</f>
        <v>#N/A</v>
      </c>
    </row>
    <row r="140" s="32" customFormat="1" spans="1:17">
      <c r="A140" s="44">
        <v>138</v>
      </c>
      <c r="B140" s="44"/>
      <c r="C140" s="44" t="s">
        <v>24</v>
      </c>
      <c r="D140" s="44"/>
      <c r="E140" s="57"/>
      <c r="F140" s="46" t="s">
        <v>360</v>
      </c>
      <c r="G140" s="47" t="s">
        <v>361</v>
      </c>
      <c r="H140" s="46">
        <v>170</v>
      </c>
      <c r="I140" s="47" t="s">
        <v>236</v>
      </c>
      <c r="J140" s="44"/>
      <c r="K140" s="46">
        <v>0.16</v>
      </c>
      <c r="L140" s="49">
        <v>0.13</v>
      </c>
      <c r="M140" s="50">
        <f t="shared" si="3"/>
        <v>27.2</v>
      </c>
      <c r="N140" s="47"/>
      <c r="O140" s="57"/>
      <c r="P140" s="61"/>
      <c r="Q140" s="32" t="e">
        <f>VLOOKUP(N140,[1]Sheet1!$F$1:$H$126,3,0)</f>
        <v>#N/A</v>
      </c>
    </row>
    <row r="141" s="32" customFormat="1" spans="1:17">
      <c r="A141" s="44">
        <v>139</v>
      </c>
      <c r="B141" s="44"/>
      <c r="C141" s="44" t="s">
        <v>24</v>
      </c>
      <c r="D141" s="44"/>
      <c r="E141" s="57"/>
      <c r="F141" s="46" t="s">
        <v>359</v>
      </c>
      <c r="G141" s="47" t="s">
        <v>361</v>
      </c>
      <c r="H141" s="46">
        <v>170</v>
      </c>
      <c r="I141" s="47" t="s">
        <v>236</v>
      </c>
      <c r="J141" s="44"/>
      <c r="K141" s="46">
        <v>0.16</v>
      </c>
      <c r="L141" s="49">
        <v>0.13</v>
      </c>
      <c r="M141" s="50">
        <f t="shared" si="3"/>
        <v>27.2</v>
      </c>
      <c r="N141" s="47"/>
      <c r="O141" s="57"/>
      <c r="P141" s="61"/>
      <c r="Q141" s="32" t="e">
        <f>VLOOKUP(N141,[1]Sheet1!$F$1:$H$126,3,0)</f>
        <v>#N/A</v>
      </c>
    </row>
    <row r="142" s="32" customFormat="1" spans="1:17">
      <c r="A142" s="44">
        <v>140</v>
      </c>
      <c r="B142" s="44"/>
      <c r="C142" s="44" t="s">
        <v>24</v>
      </c>
      <c r="D142" s="44"/>
      <c r="E142" s="57" t="s">
        <v>129</v>
      </c>
      <c r="F142" s="63" t="s">
        <v>298</v>
      </c>
      <c r="G142" s="63" t="s">
        <v>299</v>
      </c>
      <c r="H142" s="46">
        <v>5</v>
      </c>
      <c r="I142" s="63" t="s">
        <v>58</v>
      </c>
      <c r="J142" s="44"/>
      <c r="K142" s="48">
        <v>220</v>
      </c>
      <c r="L142" s="49">
        <v>0.13</v>
      </c>
      <c r="M142" s="50">
        <f t="shared" si="3"/>
        <v>1100</v>
      </c>
      <c r="N142" s="46" t="s">
        <v>300</v>
      </c>
      <c r="O142" s="57">
        <v>45999</v>
      </c>
      <c r="P142" s="61" t="s">
        <v>362</v>
      </c>
      <c r="Q142" s="32" t="e">
        <f>VLOOKUP(N142,[1]Sheet1!$F$1:$H$126,3,0)</f>
        <v>#N/A</v>
      </c>
    </row>
    <row r="143" s="32" customFormat="1" spans="1:17">
      <c r="A143" s="44">
        <v>141</v>
      </c>
      <c r="B143" s="44"/>
      <c r="C143" s="44" t="s">
        <v>24</v>
      </c>
      <c r="D143" s="44"/>
      <c r="E143" s="57" t="s">
        <v>129</v>
      </c>
      <c r="F143" s="63" t="s">
        <v>363</v>
      </c>
      <c r="G143" s="63"/>
      <c r="H143" s="46">
        <v>50</v>
      </c>
      <c r="I143" s="63" t="s">
        <v>109</v>
      </c>
      <c r="J143" s="44"/>
      <c r="K143" s="48">
        <v>14.5</v>
      </c>
      <c r="L143" s="49">
        <v>0.13</v>
      </c>
      <c r="M143" s="50">
        <f t="shared" si="3"/>
        <v>725</v>
      </c>
      <c r="N143" s="46" t="s">
        <v>364</v>
      </c>
      <c r="O143" s="57">
        <v>45999</v>
      </c>
      <c r="P143" s="61" t="s">
        <v>365</v>
      </c>
      <c r="Q143" s="32" t="e">
        <f>VLOOKUP(N143,[1]Sheet1!$F$1:$H$126,3,0)</f>
        <v>#N/A</v>
      </c>
    </row>
    <row r="144" s="32" customFormat="1" spans="1:17">
      <c r="A144" s="44">
        <v>142</v>
      </c>
      <c r="B144" s="44"/>
      <c r="C144" s="44" t="s">
        <v>24</v>
      </c>
      <c r="D144" s="44"/>
      <c r="E144" s="57" t="s">
        <v>129</v>
      </c>
      <c r="F144" s="46" t="s">
        <v>366</v>
      </c>
      <c r="G144" s="64" t="s">
        <v>352</v>
      </c>
      <c r="H144" s="65">
        <v>201</v>
      </c>
      <c r="I144" s="47" t="s">
        <v>109</v>
      </c>
      <c r="J144" s="44"/>
      <c r="K144" s="65">
        <v>28.7872</v>
      </c>
      <c r="L144" s="49">
        <v>0.13</v>
      </c>
      <c r="M144" s="50">
        <f t="shared" si="3"/>
        <v>5786.2272</v>
      </c>
      <c r="N144" s="47" t="s">
        <v>325</v>
      </c>
      <c r="O144" s="57">
        <v>46000</v>
      </c>
      <c r="P144" s="61" t="s">
        <v>367</v>
      </c>
      <c r="Q144" s="32" t="e">
        <f>VLOOKUP(N144,[1]Sheet1!$F$1:$H$126,3,0)</f>
        <v>#N/A</v>
      </c>
    </row>
    <row r="145" s="32" customFormat="1" spans="1:17">
      <c r="A145" s="44">
        <v>143</v>
      </c>
      <c r="B145" s="44"/>
      <c r="C145" s="44" t="s">
        <v>24</v>
      </c>
      <c r="D145" s="44"/>
      <c r="E145" s="57"/>
      <c r="F145" s="46" t="s">
        <v>368</v>
      </c>
      <c r="G145" s="64"/>
      <c r="H145" s="65">
        <v>201</v>
      </c>
      <c r="I145" s="47"/>
      <c r="J145" s="44"/>
      <c r="K145" s="65">
        <v>28.7872</v>
      </c>
      <c r="L145" s="49">
        <v>0.13</v>
      </c>
      <c r="M145" s="50">
        <f t="shared" si="3"/>
        <v>5786.2272</v>
      </c>
      <c r="N145" s="47"/>
      <c r="O145" s="57"/>
      <c r="P145" s="61"/>
      <c r="Q145" s="32" t="e">
        <f>VLOOKUP(N145,[1]Sheet1!$F$1:$H$126,3,0)</f>
        <v>#N/A</v>
      </c>
    </row>
    <row r="146" s="32" customFormat="1" spans="1:17">
      <c r="A146" s="44">
        <v>144</v>
      </c>
      <c r="B146" s="44"/>
      <c r="C146" s="44" t="s">
        <v>24</v>
      </c>
      <c r="D146" s="44"/>
      <c r="E146" s="57"/>
      <c r="F146" s="46" t="s">
        <v>369</v>
      </c>
      <c r="G146" s="64"/>
      <c r="H146" s="65">
        <v>280</v>
      </c>
      <c r="I146" s="47"/>
      <c r="J146" s="44"/>
      <c r="K146" s="65">
        <v>30.0872</v>
      </c>
      <c r="L146" s="49">
        <v>0.13</v>
      </c>
      <c r="M146" s="50">
        <f t="shared" si="3"/>
        <v>8424.416</v>
      </c>
      <c r="N146" s="47"/>
      <c r="O146" s="57"/>
      <c r="P146" s="61"/>
      <c r="Q146" s="32" t="e">
        <f>VLOOKUP(N146,[1]Sheet1!$F$1:$H$126,3,0)</f>
        <v>#N/A</v>
      </c>
    </row>
    <row r="147" s="32" customFormat="1" spans="1:17">
      <c r="A147" s="44">
        <v>145</v>
      </c>
      <c r="B147" s="44"/>
      <c r="C147" s="44" t="s">
        <v>24</v>
      </c>
      <c r="D147" s="44"/>
      <c r="E147" s="57"/>
      <c r="F147" s="46" t="s">
        <v>370</v>
      </c>
      <c r="G147" s="64"/>
      <c r="H147" s="65">
        <v>280</v>
      </c>
      <c r="I147" s="47"/>
      <c r="J147" s="44"/>
      <c r="K147" s="65">
        <v>30.0872</v>
      </c>
      <c r="L147" s="49">
        <v>0.13</v>
      </c>
      <c r="M147" s="50">
        <f t="shared" si="3"/>
        <v>8424.416</v>
      </c>
      <c r="N147" s="47"/>
      <c r="O147" s="57"/>
      <c r="P147" s="61"/>
      <c r="Q147" s="32" t="e">
        <f>VLOOKUP(N147,[1]Sheet1!$F$1:$H$126,3,0)</f>
        <v>#N/A</v>
      </c>
    </row>
    <row r="148" s="32" customFormat="1" spans="1:17">
      <c r="A148" s="44">
        <v>146</v>
      </c>
      <c r="B148" s="44"/>
      <c r="C148" s="44" t="s">
        <v>24</v>
      </c>
      <c r="D148" s="44"/>
      <c r="E148" s="57"/>
      <c r="F148" s="46" t="s">
        <v>371</v>
      </c>
      <c r="G148" s="64"/>
      <c r="H148" s="65">
        <v>258</v>
      </c>
      <c r="I148" s="47"/>
      <c r="J148" s="44"/>
      <c r="K148" s="65">
        <v>31.4872</v>
      </c>
      <c r="L148" s="49">
        <v>0.13</v>
      </c>
      <c r="M148" s="50">
        <f t="shared" si="3"/>
        <v>8123.6976</v>
      </c>
      <c r="N148" s="47"/>
      <c r="O148" s="57"/>
      <c r="P148" s="61"/>
      <c r="Q148" s="32" t="e">
        <f>VLOOKUP(N148,[1]Sheet1!$F$1:$H$126,3,0)</f>
        <v>#N/A</v>
      </c>
    </row>
    <row r="149" s="32" customFormat="1" spans="1:17">
      <c r="A149" s="44">
        <v>147</v>
      </c>
      <c r="B149" s="44"/>
      <c r="C149" s="44" t="s">
        <v>24</v>
      </c>
      <c r="D149" s="44"/>
      <c r="E149" s="57"/>
      <c r="F149" s="46" t="s">
        <v>372</v>
      </c>
      <c r="G149" s="64"/>
      <c r="H149" s="65">
        <v>258</v>
      </c>
      <c r="I149" s="47"/>
      <c r="J149" s="44"/>
      <c r="K149" s="65">
        <v>31.4872</v>
      </c>
      <c r="L149" s="49">
        <v>0.13</v>
      </c>
      <c r="M149" s="50">
        <f t="shared" si="3"/>
        <v>8123.6976</v>
      </c>
      <c r="N149" s="47"/>
      <c r="O149" s="57"/>
      <c r="P149" s="61"/>
      <c r="Q149" s="32" t="e">
        <f>VLOOKUP(N149,[1]Sheet1!$F$1:$H$126,3,0)</f>
        <v>#N/A</v>
      </c>
    </row>
    <row r="150" s="32" customFormat="1" spans="1:17">
      <c r="A150" s="44">
        <v>148</v>
      </c>
      <c r="B150" s="44"/>
      <c r="C150" s="44" t="s">
        <v>24</v>
      </c>
      <c r="D150" s="44"/>
      <c r="E150" s="57" t="s">
        <v>129</v>
      </c>
      <c r="F150" s="66" t="s">
        <v>373</v>
      </c>
      <c r="G150" s="65" t="s">
        <v>374</v>
      </c>
      <c r="H150" s="65">
        <v>1600</v>
      </c>
      <c r="I150" s="47" t="s">
        <v>159</v>
      </c>
      <c r="J150" s="44"/>
      <c r="K150" s="65">
        <v>28.2625</v>
      </c>
      <c r="L150" s="49">
        <v>0.13</v>
      </c>
      <c r="M150" s="50">
        <f t="shared" si="3"/>
        <v>45220</v>
      </c>
      <c r="N150" s="47" t="s">
        <v>325</v>
      </c>
      <c r="O150" s="57">
        <v>46001</v>
      </c>
      <c r="P150" s="61" t="s">
        <v>375</v>
      </c>
      <c r="Q150" s="32" t="e">
        <f>VLOOKUP(N150,[1]Sheet1!$F$1:$H$126,3,0)</f>
        <v>#N/A</v>
      </c>
    </row>
    <row r="151" s="32" customFormat="1" spans="1:17">
      <c r="A151" s="44">
        <v>149</v>
      </c>
      <c r="B151" s="44"/>
      <c r="C151" s="44" t="s">
        <v>24</v>
      </c>
      <c r="D151" s="44"/>
      <c r="E151" s="57"/>
      <c r="F151" s="66" t="s">
        <v>376</v>
      </c>
      <c r="G151" s="65" t="s">
        <v>377</v>
      </c>
      <c r="H151" s="65">
        <v>1600</v>
      </c>
      <c r="I151" s="47"/>
      <c r="J151" s="44"/>
      <c r="K151" s="65">
        <v>31.6125</v>
      </c>
      <c r="L151" s="49">
        <v>0.13</v>
      </c>
      <c r="M151" s="50">
        <f t="shared" si="3"/>
        <v>50580</v>
      </c>
      <c r="N151" s="47"/>
      <c r="O151" s="57"/>
      <c r="P151" s="61"/>
      <c r="Q151" s="32" t="e">
        <f>VLOOKUP(N151,[1]Sheet1!$F$1:$H$126,3,0)</f>
        <v>#N/A</v>
      </c>
    </row>
    <row r="152" s="32" customFormat="1" spans="1:17">
      <c r="A152" s="44">
        <v>150</v>
      </c>
      <c r="B152" s="44"/>
      <c r="C152" s="44" t="s">
        <v>24</v>
      </c>
      <c r="D152" s="44"/>
      <c r="E152" s="57"/>
      <c r="F152" s="66" t="s">
        <v>378</v>
      </c>
      <c r="G152" s="65" t="s">
        <v>379</v>
      </c>
      <c r="H152" s="65">
        <v>1800</v>
      </c>
      <c r="I152" s="47"/>
      <c r="J152" s="44"/>
      <c r="K152" s="65">
        <v>32.7625</v>
      </c>
      <c r="L152" s="49">
        <v>0.13</v>
      </c>
      <c r="M152" s="50">
        <f t="shared" si="3"/>
        <v>58972.5</v>
      </c>
      <c r="N152" s="47"/>
      <c r="O152" s="57"/>
      <c r="P152" s="61"/>
      <c r="Q152" s="32" t="e">
        <f>VLOOKUP(N152,[1]Sheet1!$F$1:$H$126,3,0)</f>
        <v>#N/A</v>
      </c>
    </row>
    <row r="153" s="32" customFormat="1" spans="1:17">
      <c r="A153" s="44">
        <v>151</v>
      </c>
      <c r="B153" s="44"/>
      <c r="C153" s="44" t="s">
        <v>24</v>
      </c>
      <c r="D153" s="44"/>
      <c r="E153" s="57" t="s">
        <v>129</v>
      </c>
      <c r="F153" s="63" t="s">
        <v>245</v>
      </c>
      <c r="G153" s="63" t="s">
        <v>380</v>
      </c>
      <c r="H153" s="46">
        <v>1</v>
      </c>
      <c r="I153" s="47" t="s">
        <v>247</v>
      </c>
      <c r="J153" s="44"/>
      <c r="K153" s="48">
        <v>400</v>
      </c>
      <c r="L153" s="49">
        <v>0.13</v>
      </c>
      <c r="M153" s="50">
        <f t="shared" si="3"/>
        <v>400</v>
      </c>
      <c r="N153" s="47" t="s">
        <v>248</v>
      </c>
      <c r="O153" s="57">
        <v>46001</v>
      </c>
      <c r="P153" s="61" t="s">
        <v>381</v>
      </c>
      <c r="Q153" s="32" t="e">
        <f>VLOOKUP(N153,[1]Sheet1!$F$1:$H$126,3,0)</f>
        <v>#N/A</v>
      </c>
    </row>
    <row r="154" s="32" customFormat="1" spans="1:17">
      <c r="A154" s="44">
        <v>152</v>
      </c>
      <c r="B154" s="44"/>
      <c r="C154" s="44" t="s">
        <v>24</v>
      </c>
      <c r="D154" s="44"/>
      <c r="E154" s="57"/>
      <c r="F154" s="63" t="s">
        <v>245</v>
      </c>
      <c r="G154" s="63" t="s">
        <v>382</v>
      </c>
      <c r="H154" s="46">
        <v>1</v>
      </c>
      <c r="I154" s="47"/>
      <c r="J154" s="44"/>
      <c r="K154" s="48">
        <v>400</v>
      </c>
      <c r="L154" s="49">
        <v>0.13</v>
      </c>
      <c r="M154" s="50">
        <f t="shared" si="3"/>
        <v>400</v>
      </c>
      <c r="N154" s="47"/>
      <c r="O154" s="57"/>
      <c r="P154" s="61"/>
      <c r="Q154" s="32" t="e">
        <f>VLOOKUP(N154,[1]Sheet1!$F$1:$H$126,3,0)</f>
        <v>#N/A</v>
      </c>
    </row>
    <row r="155" s="32" customFormat="1" spans="1:17">
      <c r="A155" s="44">
        <v>153</v>
      </c>
      <c r="B155" s="44"/>
      <c r="C155" s="44" t="s">
        <v>24</v>
      </c>
      <c r="D155" s="44"/>
      <c r="E155" s="45" t="s">
        <v>129</v>
      </c>
      <c r="F155" s="63" t="s">
        <v>383</v>
      </c>
      <c r="G155" s="63" t="s">
        <v>384</v>
      </c>
      <c r="H155" s="65">
        <v>40</v>
      </c>
      <c r="I155" s="65" t="s">
        <v>109</v>
      </c>
      <c r="J155" s="44"/>
      <c r="K155" s="48">
        <v>40</v>
      </c>
      <c r="L155" s="49">
        <v>0.13</v>
      </c>
      <c r="M155" s="50">
        <f t="shared" ref="M155:M186" si="4">K155*H155</f>
        <v>1600</v>
      </c>
      <c r="N155" s="46" t="s">
        <v>271</v>
      </c>
      <c r="O155" s="57">
        <v>46001</v>
      </c>
      <c r="P155" s="53" t="s">
        <v>385</v>
      </c>
      <c r="Q155" s="32" t="e">
        <f>VLOOKUP(N155,[1]Sheet1!$F$1:$H$126,3,0)</f>
        <v>#N/A</v>
      </c>
    </row>
    <row r="156" s="32" customFormat="1" ht="33" spans="1:17">
      <c r="A156" s="44">
        <v>154</v>
      </c>
      <c r="B156" s="44"/>
      <c r="C156" s="44" t="s">
        <v>24</v>
      </c>
      <c r="D156" s="44"/>
      <c r="E156" s="57" t="s">
        <v>129</v>
      </c>
      <c r="F156" s="63" t="s">
        <v>386</v>
      </c>
      <c r="G156" s="63" t="s">
        <v>387</v>
      </c>
      <c r="H156" s="65">
        <v>204</v>
      </c>
      <c r="I156" s="65" t="s">
        <v>131</v>
      </c>
      <c r="J156" s="44"/>
      <c r="K156" s="63">
        <v>14</v>
      </c>
      <c r="L156" s="49">
        <v>0.13</v>
      </c>
      <c r="M156" s="50">
        <f t="shared" si="4"/>
        <v>2856</v>
      </c>
      <c r="N156" s="47" t="s">
        <v>388</v>
      </c>
      <c r="O156" s="57">
        <v>46003</v>
      </c>
      <c r="P156" s="61" t="s">
        <v>389</v>
      </c>
      <c r="Q156" s="32" t="e">
        <f>VLOOKUP(N156,[1]Sheet1!$F$1:$H$126,3,0)</f>
        <v>#N/A</v>
      </c>
    </row>
    <row r="157" s="32" customFormat="1" ht="33" spans="1:17">
      <c r="A157" s="44">
        <v>155</v>
      </c>
      <c r="B157" s="44"/>
      <c r="C157" s="44" t="s">
        <v>24</v>
      </c>
      <c r="D157" s="44"/>
      <c r="E157" s="57"/>
      <c r="F157" s="63" t="s">
        <v>390</v>
      </c>
      <c r="G157" s="63" t="s">
        <v>387</v>
      </c>
      <c r="H157" s="65">
        <v>204</v>
      </c>
      <c r="I157" s="65" t="s">
        <v>131</v>
      </c>
      <c r="J157" s="44"/>
      <c r="K157" s="63">
        <v>17.2</v>
      </c>
      <c r="L157" s="49">
        <v>0.13</v>
      </c>
      <c r="M157" s="50">
        <f t="shared" si="4"/>
        <v>3508.8</v>
      </c>
      <c r="N157" s="47"/>
      <c r="O157" s="57"/>
      <c r="P157" s="61"/>
      <c r="Q157" s="32" t="e">
        <f>VLOOKUP(N157,[1]Sheet1!$F$1:$H$126,3,0)</f>
        <v>#N/A</v>
      </c>
    </row>
    <row r="158" s="32" customFormat="1" spans="1:17">
      <c r="A158" s="44">
        <v>156</v>
      </c>
      <c r="B158" s="44"/>
      <c r="C158" s="44" t="s">
        <v>24</v>
      </c>
      <c r="D158" s="44"/>
      <c r="E158" s="57" t="s">
        <v>129</v>
      </c>
      <c r="F158" s="63" t="s">
        <v>298</v>
      </c>
      <c r="G158" s="63" t="s">
        <v>299</v>
      </c>
      <c r="H158" s="65">
        <v>5</v>
      </c>
      <c r="I158" s="65" t="s">
        <v>91</v>
      </c>
      <c r="J158" s="44"/>
      <c r="K158" s="63">
        <v>220</v>
      </c>
      <c r="L158" s="49">
        <v>0.13</v>
      </c>
      <c r="M158" s="50">
        <f t="shared" si="4"/>
        <v>1100</v>
      </c>
      <c r="N158" s="47" t="s">
        <v>300</v>
      </c>
      <c r="O158" s="57">
        <v>46006</v>
      </c>
      <c r="P158" s="61" t="s">
        <v>391</v>
      </c>
      <c r="Q158" s="32" t="e">
        <f>VLOOKUP(N158,[1]Sheet1!$F$1:$H$126,3,0)</f>
        <v>#N/A</v>
      </c>
    </row>
    <row r="159" s="32" customFormat="1" spans="1:17">
      <c r="A159" s="44">
        <v>157</v>
      </c>
      <c r="B159" s="44"/>
      <c r="C159" s="44" t="s">
        <v>24</v>
      </c>
      <c r="D159" s="44"/>
      <c r="E159" s="57"/>
      <c r="F159" s="63" t="s">
        <v>292</v>
      </c>
      <c r="G159" s="63" t="s">
        <v>302</v>
      </c>
      <c r="H159" s="65">
        <v>0.5</v>
      </c>
      <c r="I159" s="65" t="s">
        <v>91</v>
      </c>
      <c r="J159" s="44"/>
      <c r="K159" s="63">
        <v>450</v>
      </c>
      <c r="L159" s="49">
        <v>0.13</v>
      </c>
      <c r="M159" s="50">
        <f t="shared" si="4"/>
        <v>225</v>
      </c>
      <c r="N159" s="47"/>
      <c r="O159" s="57"/>
      <c r="P159" s="61"/>
      <c r="Q159" s="32" t="e">
        <f>VLOOKUP(N159,[1]Sheet1!$F$1:$H$126,3,0)</f>
        <v>#N/A</v>
      </c>
    </row>
    <row r="160" s="32" customFormat="1" spans="1:17">
      <c r="A160" s="44">
        <v>158</v>
      </c>
      <c r="B160" s="44"/>
      <c r="C160" s="44" t="s">
        <v>24</v>
      </c>
      <c r="D160" s="44"/>
      <c r="E160" s="45" t="s">
        <v>129</v>
      </c>
      <c r="F160" s="63" t="s">
        <v>285</v>
      </c>
      <c r="G160" s="63" t="s">
        <v>392</v>
      </c>
      <c r="H160" s="65">
        <v>350</v>
      </c>
      <c r="I160" s="65" t="s">
        <v>91</v>
      </c>
      <c r="J160" s="44"/>
      <c r="K160" s="63">
        <v>42.43</v>
      </c>
      <c r="L160" s="49">
        <v>0.13</v>
      </c>
      <c r="M160" s="50">
        <f t="shared" si="4"/>
        <v>14850.5</v>
      </c>
      <c r="N160" s="46" t="s">
        <v>286</v>
      </c>
      <c r="O160" s="45">
        <v>46006</v>
      </c>
      <c r="P160" s="53" t="s">
        <v>393</v>
      </c>
      <c r="Q160" s="32" t="e">
        <f>VLOOKUP(N160,[1]Sheet1!$F$1:$H$126,3,0)</f>
        <v>#N/A</v>
      </c>
    </row>
    <row r="161" s="32" customFormat="1" ht="33" spans="1:20">
      <c r="A161" s="44">
        <v>159</v>
      </c>
      <c r="B161" s="44"/>
      <c r="C161" s="44" t="s">
        <v>24</v>
      </c>
      <c r="D161" s="44"/>
      <c r="E161" s="45" t="s">
        <v>129</v>
      </c>
      <c r="F161" s="63" t="s">
        <v>394</v>
      </c>
      <c r="G161" s="63" t="s">
        <v>281</v>
      </c>
      <c r="H161" s="46">
        <v>350</v>
      </c>
      <c r="I161" s="63" t="s">
        <v>131</v>
      </c>
      <c r="J161" s="44"/>
      <c r="K161" s="48">
        <v>26.7</v>
      </c>
      <c r="L161" s="49">
        <v>0.13</v>
      </c>
      <c r="M161" s="50">
        <f t="shared" si="4"/>
        <v>9345</v>
      </c>
      <c r="N161" s="46" t="s">
        <v>320</v>
      </c>
      <c r="O161" s="45">
        <v>46006</v>
      </c>
      <c r="P161" s="53" t="s">
        <v>395</v>
      </c>
      <c r="Q161" s="32" t="e">
        <f>VLOOKUP(N161,[1]Sheet1!$F$1:$H$126,3,0)</f>
        <v>#N/A</v>
      </c>
    </row>
    <row r="162" s="32" customFormat="1" spans="1:20">
      <c r="A162" s="44">
        <v>160</v>
      </c>
      <c r="B162" s="44"/>
      <c r="C162" s="44" t="s">
        <v>24</v>
      </c>
      <c r="D162" s="44"/>
      <c r="E162" s="45" t="s">
        <v>129</v>
      </c>
      <c r="F162" s="65" t="s">
        <v>275</v>
      </c>
      <c r="G162" s="63" t="s">
        <v>396</v>
      </c>
      <c r="H162" s="65">
        <v>50</v>
      </c>
      <c r="I162" s="63" t="s">
        <v>34</v>
      </c>
      <c r="J162" s="44"/>
      <c r="K162" s="48">
        <v>17</v>
      </c>
      <c r="L162" s="49">
        <v>0.13</v>
      </c>
      <c r="M162" s="50">
        <f t="shared" si="4"/>
        <v>850</v>
      </c>
      <c r="N162" s="46" t="s">
        <v>277</v>
      </c>
      <c r="O162" s="45">
        <v>46008</v>
      </c>
      <c r="P162" s="53" t="s">
        <v>397</v>
      </c>
      <c r="Q162" s="32" t="e">
        <f>VLOOKUP(N162,[1]Sheet1!$F$1:$H$126,3,0)</f>
        <v>#N/A</v>
      </c>
    </row>
    <row r="163" s="32" customFormat="1" spans="1:20">
      <c r="A163" s="44">
        <v>161</v>
      </c>
      <c r="B163" s="44"/>
      <c r="C163" s="44" t="s">
        <v>24</v>
      </c>
      <c r="D163" s="44"/>
      <c r="E163" s="45" t="s">
        <v>129</v>
      </c>
      <c r="F163" s="65" t="s">
        <v>398</v>
      </c>
      <c r="G163" s="63" t="s">
        <v>399</v>
      </c>
      <c r="H163" s="46">
        <v>1</v>
      </c>
      <c r="I163" s="65" t="s">
        <v>46</v>
      </c>
      <c r="J163" s="44"/>
      <c r="K163" s="48">
        <v>1600</v>
      </c>
      <c r="L163" s="49">
        <v>0.13</v>
      </c>
      <c r="M163" s="50">
        <f t="shared" si="4"/>
        <v>1600</v>
      </c>
      <c r="N163" s="46" t="s">
        <v>400</v>
      </c>
      <c r="O163" s="45">
        <v>46013</v>
      </c>
      <c r="P163" s="53" t="s">
        <v>401</v>
      </c>
      <c r="Q163" s="32" t="e">
        <f>VLOOKUP(N163,[1]Sheet1!$F$1:$H$126,3,0)</f>
        <v>#N/A</v>
      </c>
      <c r="S163" s="67" t="s">
        <v>402</v>
      </c>
      <c r="T163" s="32">
        <v>26.5</v>
      </c>
    </row>
    <row r="164" s="32" customFormat="1" spans="1:20">
      <c r="A164" s="44">
        <v>162</v>
      </c>
      <c r="B164" s="44"/>
      <c r="C164" s="44" t="s">
        <v>24</v>
      </c>
      <c r="D164" s="44"/>
      <c r="E164" s="45" t="s">
        <v>129</v>
      </c>
      <c r="F164" s="65" t="s">
        <v>311</v>
      </c>
      <c r="G164" s="65" t="s">
        <v>403</v>
      </c>
      <c r="H164" s="46">
        <v>1</v>
      </c>
      <c r="I164" s="65" t="s">
        <v>202</v>
      </c>
      <c r="J164" s="44"/>
      <c r="K164" s="62">
        <v>83</v>
      </c>
      <c r="L164" s="49">
        <v>0.13</v>
      </c>
      <c r="M164" s="50">
        <f t="shared" si="4"/>
        <v>83</v>
      </c>
      <c r="N164" s="46" t="s">
        <v>312</v>
      </c>
      <c r="O164" s="45">
        <v>46016</v>
      </c>
      <c r="P164" s="53" t="s">
        <v>404</v>
      </c>
      <c r="Q164" s="32" t="e">
        <f>VLOOKUP(N164,[1]Sheet1!$F$1:$H$126,3,0)</f>
        <v>#N/A</v>
      </c>
    </row>
    <row r="165" s="32" customFormat="1" ht="33" spans="1:20">
      <c r="A165" s="44">
        <v>163</v>
      </c>
      <c r="B165" s="44"/>
      <c r="C165" s="44" t="s">
        <v>24</v>
      </c>
      <c r="D165" s="44"/>
      <c r="E165" s="45" t="s">
        <v>129</v>
      </c>
      <c r="F165" s="63" t="s">
        <v>405</v>
      </c>
      <c r="G165" s="65" t="s">
        <v>406</v>
      </c>
      <c r="H165" s="65">
        <v>49.4</v>
      </c>
      <c r="I165" s="65" t="s">
        <v>131</v>
      </c>
      <c r="J165" s="44"/>
      <c r="K165" s="48">
        <v>20</v>
      </c>
      <c r="L165" s="49">
        <v>0.13</v>
      </c>
      <c r="M165" s="50">
        <f t="shared" si="4"/>
        <v>988</v>
      </c>
      <c r="N165" s="46" t="s">
        <v>145</v>
      </c>
      <c r="O165" s="45">
        <v>46017</v>
      </c>
      <c r="P165" s="53" t="s">
        <v>407</v>
      </c>
      <c r="Q165" s="32" t="str">
        <f>VLOOKUP(N165,[1]Sheet1!$F$1:$H$126,3,0)</f>
        <v>预付</v>
      </c>
    </row>
    <row r="166" s="32" customFormat="1" ht="33" spans="1:20">
      <c r="A166" s="44">
        <v>164</v>
      </c>
      <c r="B166" s="44"/>
      <c r="C166" s="44" t="s">
        <v>24</v>
      </c>
      <c r="D166" s="44"/>
      <c r="E166" s="45" t="s">
        <v>129</v>
      </c>
      <c r="F166" s="63" t="s">
        <v>408</v>
      </c>
      <c r="G166" s="65" t="s">
        <v>409</v>
      </c>
      <c r="H166" s="46">
        <v>33</v>
      </c>
      <c r="I166" s="65" t="s">
        <v>131</v>
      </c>
      <c r="J166" s="44"/>
      <c r="K166" s="62">
        <v>26</v>
      </c>
      <c r="L166" s="49">
        <v>0.13</v>
      </c>
      <c r="M166" s="50">
        <f t="shared" si="4"/>
        <v>858</v>
      </c>
      <c r="N166" s="46" t="s">
        <v>305</v>
      </c>
      <c r="O166" s="45">
        <v>46017</v>
      </c>
      <c r="P166" s="53" t="s">
        <v>410</v>
      </c>
      <c r="Q166" s="32" t="e">
        <f>VLOOKUP(N166,[1]Sheet1!$F$1:$H$126,3,0)</f>
        <v>#N/A</v>
      </c>
    </row>
    <row r="167" s="32" customFormat="1" spans="1:20">
      <c r="A167" s="44">
        <v>165</v>
      </c>
      <c r="B167" s="44"/>
      <c r="C167" s="44" t="s">
        <v>24</v>
      </c>
      <c r="D167" s="44"/>
      <c r="E167" s="45" t="s">
        <v>129</v>
      </c>
      <c r="F167" s="63" t="s">
        <v>337</v>
      </c>
      <c r="G167" s="60" t="s">
        <v>411</v>
      </c>
      <c r="H167" s="47">
        <v>1</v>
      </c>
      <c r="I167" s="47" t="s">
        <v>46</v>
      </c>
      <c r="J167" s="44"/>
      <c r="K167" s="68">
        <v>700</v>
      </c>
      <c r="L167" s="49">
        <v>0.13</v>
      </c>
      <c r="M167" s="50">
        <f t="shared" si="4"/>
        <v>700</v>
      </c>
      <c r="N167" s="46" t="s">
        <v>412</v>
      </c>
      <c r="O167" s="45">
        <v>46010</v>
      </c>
      <c r="P167" s="53" t="s">
        <v>413</v>
      </c>
      <c r="Q167" s="32" t="e">
        <f>VLOOKUP(N167,[1]Sheet1!$F$1:$H$126,3,0)</f>
        <v>#N/A</v>
      </c>
    </row>
    <row r="168" s="32" customFormat="1" spans="1:20">
      <c r="A168" s="44">
        <v>166</v>
      </c>
      <c r="B168" s="44"/>
      <c r="C168" s="44" t="s">
        <v>24</v>
      </c>
      <c r="D168" s="44"/>
      <c r="E168" s="69" t="s">
        <v>129</v>
      </c>
      <c r="F168" s="46" t="s">
        <v>414</v>
      </c>
      <c r="G168" s="65" t="s">
        <v>415</v>
      </c>
      <c r="H168" s="65">
        <v>280</v>
      </c>
      <c r="I168" s="65" t="s">
        <v>109</v>
      </c>
      <c r="J168" s="44"/>
      <c r="K168" s="70">
        <v>3.6</v>
      </c>
      <c r="L168" s="49">
        <v>0.13</v>
      </c>
      <c r="M168" s="50">
        <f t="shared" si="4"/>
        <v>1008</v>
      </c>
      <c r="N168" s="46" t="s">
        <v>325</v>
      </c>
      <c r="O168" s="45">
        <v>46028</v>
      </c>
      <c r="P168" s="53" t="s">
        <v>416</v>
      </c>
      <c r="Q168" s="32" t="e">
        <f>VLOOKUP(N168,[1]Sheet1!$F$1:$H$126,3,0)</f>
        <v>#N/A</v>
      </c>
    </row>
    <row r="169" s="32" customFormat="1" spans="1:20">
      <c r="A169" s="44">
        <v>167</v>
      </c>
      <c r="B169" s="44"/>
      <c r="C169" s="44" t="s">
        <v>24</v>
      </c>
      <c r="D169" s="44"/>
      <c r="E169" s="69"/>
      <c r="F169" s="46" t="s">
        <v>414</v>
      </c>
      <c r="G169" s="65" t="s">
        <v>417</v>
      </c>
      <c r="H169" s="65">
        <v>5000</v>
      </c>
      <c r="I169" s="65" t="s">
        <v>159</v>
      </c>
      <c r="J169" s="44"/>
      <c r="K169" s="70">
        <v>3.6</v>
      </c>
      <c r="L169" s="49">
        <v>0.13</v>
      </c>
      <c r="M169" s="50">
        <f t="shared" si="4"/>
        <v>18000</v>
      </c>
      <c r="N169" s="46"/>
      <c r="O169" s="45"/>
      <c r="P169" s="53"/>
      <c r="Q169" s="32" t="e">
        <f>VLOOKUP(N169,[1]Sheet1!$F$1:$H$126,3,0)</f>
        <v>#N/A</v>
      </c>
    </row>
    <row r="170" s="32" customFormat="1" spans="1:20">
      <c r="A170" s="44">
        <v>168</v>
      </c>
      <c r="B170" s="44"/>
      <c r="C170" s="44" t="s">
        <v>24</v>
      </c>
      <c r="D170" s="44"/>
      <c r="E170" s="57" t="s">
        <v>129</v>
      </c>
      <c r="F170" s="65" t="s">
        <v>418</v>
      </c>
      <c r="G170" s="65" t="s">
        <v>399</v>
      </c>
      <c r="H170" s="46">
        <v>965</v>
      </c>
      <c r="I170" s="47" t="s">
        <v>236</v>
      </c>
      <c r="J170" s="44"/>
      <c r="K170" s="71">
        <v>0.198</v>
      </c>
      <c r="L170" s="49">
        <v>0.13</v>
      </c>
      <c r="M170" s="50">
        <f t="shared" si="4"/>
        <v>191.07</v>
      </c>
      <c r="N170" s="47" t="s">
        <v>357</v>
      </c>
      <c r="O170" s="57">
        <v>46008</v>
      </c>
      <c r="P170" s="53" t="s">
        <v>419</v>
      </c>
      <c r="Q170" s="32" t="e">
        <f>VLOOKUP(N170,[1]Sheet1!$F$1:$H$126,3,0)</f>
        <v>#N/A</v>
      </c>
    </row>
    <row r="171" s="32" customFormat="1" spans="1:20">
      <c r="A171" s="44">
        <v>169</v>
      </c>
      <c r="B171" s="44"/>
      <c r="C171" s="44" t="s">
        <v>24</v>
      </c>
      <c r="D171" s="44"/>
      <c r="E171" s="57"/>
      <c r="F171" s="65" t="s">
        <v>420</v>
      </c>
      <c r="G171" s="65" t="s">
        <v>399</v>
      </c>
      <c r="H171" s="46">
        <v>965</v>
      </c>
      <c r="I171" s="47" t="s">
        <v>236</v>
      </c>
      <c r="J171" s="44"/>
      <c r="K171" s="71">
        <v>0.198</v>
      </c>
      <c r="L171" s="49">
        <v>0.13</v>
      </c>
      <c r="M171" s="50">
        <f t="shared" si="4"/>
        <v>191.07</v>
      </c>
      <c r="N171" s="47"/>
      <c r="O171" s="57"/>
      <c r="P171" s="53"/>
      <c r="Q171" s="32" t="e">
        <f>VLOOKUP(N171,[1]Sheet1!$F$1:$H$126,3,0)</f>
        <v>#N/A</v>
      </c>
    </row>
    <row r="172" s="32" customFormat="1" spans="1:20">
      <c r="A172" s="44">
        <v>170</v>
      </c>
      <c r="B172" s="44"/>
      <c r="C172" s="44" t="s">
        <v>24</v>
      </c>
      <c r="D172" s="44"/>
      <c r="E172" s="57"/>
      <c r="F172" s="65" t="s">
        <v>421</v>
      </c>
      <c r="G172" s="65" t="s">
        <v>399</v>
      </c>
      <c r="H172" s="46">
        <v>965</v>
      </c>
      <c r="I172" s="47" t="s">
        <v>236</v>
      </c>
      <c r="J172" s="44"/>
      <c r="K172" s="71">
        <v>0.288</v>
      </c>
      <c r="L172" s="49">
        <v>0.13</v>
      </c>
      <c r="M172" s="50">
        <f t="shared" si="4"/>
        <v>277.92</v>
      </c>
      <c r="N172" s="47"/>
      <c r="O172" s="57"/>
      <c r="P172" s="53"/>
      <c r="Q172" s="32" t="e">
        <f>VLOOKUP(N172,[1]Sheet1!$F$1:$H$126,3,0)</f>
        <v>#N/A</v>
      </c>
    </row>
    <row r="173" s="32" customFormat="1" spans="1:20">
      <c r="A173" s="44">
        <v>171</v>
      </c>
      <c r="B173" s="44"/>
      <c r="C173" s="44" t="s">
        <v>24</v>
      </c>
      <c r="D173" s="44"/>
      <c r="E173" s="57"/>
      <c r="F173" s="65" t="s">
        <v>422</v>
      </c>
      <c r="G173" s="65" t="s">
        <v>399</v>
      </c>
      <c r="H173" s="46">
        <v>965</v>
      </c>
      <c r="I173" s="47" t="s">
        <v>236</v>
      </c>
      <c r="J173" s="44"/>
      <c r="K173" s="71">
        <v>0.288</v>
      </c>
      <c r="L173" s="49">
        <v>0.13</v>
      </c>
      <c r="M173" s="50">
        <f t="shared" si="4"/>
        <v>277.92</v>
      </c>
      <c r="N173" s="47"/>
      <c r="O173" s="57"/>
      <c r="P173" s="53"/>
      <c r="Q173" s="32" t="e">
        <f>VLOOKUP(N173,[1]Sheet1!$F$1:$H$126,3,0)</f>
        <v>#N/A</v>
      </c>
    </row>
    <row r="174" s="32" customFormat="1" spans="1:20">
      <c r="A174" s="44">
        <v>172</v>
      </c>
      <c r="B174" s="44"/>
      <c r="C174" s="44" t="s">
        <v>24</v>
      </c>
      <c r="D174" s="44"/>
      <c r="E174" s="45" t="s">
        <v>129</v>
      </c>
      <c r="F174" s="63" t="s">
        <v>423</v>
      </c>
      <c r="G174" s="63" t="s">
        <v>399</v>
      </c>
      <c r="H174" s="46">
        <v>856</v>
      </c>
      <c r="I174" s="47" t="s">
        <v>236</v>
      </c>
      <c r="J174" s="44"/>
      <c r="K174" s="71">
        <v>0.198</v>
      </c>
      <c r="L174" s="49">
        <v>0.13</v>
      </c>
      <c r="M174" s="50">
        <f t="shared" si="4"/>
        <v>169.488</v>
      </c>
      <c r="N174" s="46" t="s">
        <v>357</v>
      </c>
      <c r="O174" s="45">
        <v>46010</v>
      </c>
      <c r="P174" s="53" t="s">
        <v>424</v>
      </c>
      <c r="Q174" s="32" t="e">
        <f>VLOOKUP(N174,[1]Sheet1!$F$1:$H$126,3,0)</f>
        <v>#N/A</v>
      </c>
    </row>
    <row r="175" s="32" customFormat="1" spans="1:20">
      <c r="A175" s="44">
        <v>173</v>
      </c>
      <c r="B175" s="44"/>
      <c r="C175" s="44" t="s">
        <v>24</v>
      </c>
      <c r="D175" s="44"/>
      <c r="E175" s="45"/>
      <c r="F175" s="63" t="s">
        <v>425</v>
      </c>
      <c r="G175" s="63" t="s">
        <v>399</v>
      </c>
      <c r="H175" s="46">
        <v>856</v>
      </c>
      <c r="I175" s="47" t="s">
        <v>236</v>
      </c>
      <c r="J175" s="44"/>
      <c r="K175" s="71">
        <v>0.198</v>
      </c>
      <c r="L175" s="49">
        <v>0.13</v>
      </c>
      <c r="M175" s="50">
        <f t="shared" si="4"/>
        <v>169.488</v>
      </c>
      <c r="N175" s="46"/>
      <c r="O175" s="45"/>
      <c r="P175" s="53"/>
      <c r="Q175" s="32" t="e">
        <f>VLOOKUP(N175,[1]Sheet1!$F$1:$H$126,3,0)</f>
        <v>#N/A</v>
      </c>
    </row>
    <row r="176" s="32" customFormat="1" spans="1:20">
      <c r="A176" s="44">
        <v>174</v>
      </c>
      <c r="B176" s="44"/>
      <c r="C176" s="44" t="s">
        <v>24</v>
      </c>
      <c r="D176" s="44"/>
      <c r="E176" s="45"/>
      <c r="F176" s="63" t="s">
        <v>426</v>
      </c>
      <c r="G176" s="63" t="s">
        <v>399</v>
      </c>
      <c r="H176" s="46">
        <v>856</v>
      </c>
      <c r="I176" s="47" t="s">
        <v>236</v>
      </c>
      <c r="J176" s="44"/>
      <c r="K176" s="71">
        <v>0.198</v>
      </c>
      <c r="L176" s="49">
        <v>0.13</v>
      </c>
      <c r="M176" s="50">
        <f t="shared" si="4"/>
        <v>169.488</v>
      </c>
      <c r="N176" s="46"/>
      <c r="O176" s="45"/>
      <c r="P176" s="53"/>
      <c r="Q176" s="32" t="e">
        <f>VLOOKUP(N176,[1]Sheet1!$F$1:$H$126,3,0)</f>
        <v>#N/A</v>
      </c>
    </row>
    <row r="177" s="32" customFormat="1" spans="1:17">
      <c r="A177" s="44">
        <v>175</v>
      </c>
      <c r="B177" s="44"/>
      <c r="C177" s="44" t="s">
        <v>24</v>
      </c>
      <c r="D177" s="44"/>
      <c r="E177" s="45"/>
      <c r="F177" s="63" t="s">
        <v>427</v>
      </c>
      <c r="G177" s="63" t="s">
        <v>399</v>
      </c>
      <c r="H177" s="46">
        <v>856</v>
      </c>
      <c r="I177" s="47" t="s">
        <v>236</v>
      </c>
      <c r="J177" s="44"/>
      <c r="K177" s="71">
        <v>0.198</v>
      </c>
      <c r="L177" s="49">
        <v>0.13</v>
      </c>
      <c r="M177" s="50">
        <f t="shared" si="4"/>
        <v>169.488</v>
      </c>
      <c r="N177" s="46"/>
      <c r="O177" s="45"/>
      <c r="P177" s="53"/>
      <c r="Q177" s="32" t="e">
        <f>VLOOKUP(N177,[1]Sheet1!$F$1:$H$126,3,0)</f>
        <v>#N/A</v>
      </c>
    </row>
    <row r="178" s="32" customFormat="1" spans="1:17">
      <c r="A178" s="44">
        <v>176</v>
      </c>
      <c r="B178" s="44"/>
      <c r="C178" s="44" t="s">
        <v>24</v>
      </c>
      <c r="D178" s="44"/>
      <c r="E178" s="45"/>
      <c r="F178" s="63" t="s">
        <v>428</v>
      </c>
      <c r="G178" s="63" t="s">
        <v>399</v>
      </c>
      <c r="H178" s="46">
        <v>856</v>
      </c>
      <c r="I178" s="47" t="s">
        <v>236</v>
      </c>
      <c r="J178" s="44"/>
      <c r="K178" s="71">
        <v>0.288</v>
      </c>
      <c r="L178" s="49">
        <v>0.13</v>
      </c>
      <c r="M178" s="50">
        <f t="shared" si="4"/>
        <v>246.528</v>
      </c>
      <c r="N178" s="46"/>
      <c r="O178" s="45"/>
      <c r="P178" s="53"/>
      <c r="Q178" s="32" t="e">
        <f>VLOOKUP(N178,[1]Sheet1!$F$1:$H$126,3,0)</f>
        <v>#N/A</v>
      </c>
    </row>
    <row r="179" s="32" customFormat="1" spans="1:17">
      <c r="A179" s="44">
        <v>177</v>
      </c>
      <c r="B179" s="44"/>
      <c r="C179" s="44" t="s">
        <v>24</v>
      </c>
      <c r="D179" s="44"/>
      <c r="E179" s="45"/>
      <c r="F179" s="63" t="s">
        <v>429</v>
      </c>
      <c r="G179" s="63" t="s">
        <v>399</v>
      </c>
      <c r="H179" s="46">
        <v>856</v>
      </c>
      <c r="I179" s="47" t="s">
        <v>236</v>
      </c>
      <c r="J179" s="44"/>
      <c r="K179" s="71">
        <v>0.288</v>
      </c>
      <c r="L179" s="49">
        <v>0.13</v>
      </c>
      <c r="M179" s="50">
        <f t="shared" si="4"/>
        <v>246.528</v>
      </c>
      <c r="N179" s="46"/>
      <c r="O179" s="45"/>
      <c r="P179" s="53"/>
      <c r="Q179" s="32" t="e">
        <f>VLOOKUP(N179,[1]Sheet1!$F$1:$H$126,3,0)</f>
        <v>#N/A</v>
      </c>
    </row>
    <row r="180" s="32" customFormat="1" spans="1:17">
      <c r="A180" s="44">
        <v>178</v>
      </c>
      <c r="B180" s="44"/>
      <c r="C180" s="44" t="s">
        <v>24</v>
      </c>
      <c r="D180" s="44"/>
      <c r="E180" s="45"/>
      <c r="F180" s="63" t="s">
        <v>430</v>
      </c>
      <c r="G180" s="63" t="s">
        <v>399</v>
      </c>
      <c r="H180" s="46">
        <v>856</v>
      </c>
      <c r="I180" s="47" t="s">
        <v>236</v>
      </c>
      <c r="J180" s="44"/>
      <c r="K180" s="71">
        <v>0.288</v>
      </c>
      <c r="L180" s="49">
        <v>0.13</v>
      </c>
      <c r="M180" s="50">
        <f t="shared" si="4"/>
        <v>246.528</v>
      </c>
      <c r="N180" s="46"/>
      <c r="O180" s="45"/>
      <c r="P180" s="53"/>
      <c r="Q180" s="32" t="e">
        <f>VLOOKUP(N180,[1]Sheet1!$F$1:$H$126,3,0)</f>
        <v>#N/A</v>
      </c>
    </row>
    <row r="181" s="32" customFormat="1" spans="1:17">
      <c r="A181" s="44">
        <v>179</v>
      </c>
      <c r="B181" s="44"/>
      <c r="C181" s="44" t="s">
        <v>24</v>
      </c>
      <c r="D181" s="44"/>
      <c r="E181" s="45"/>
      <c r="F181" s="63" t="s">
        <v>431</v>
      </c>
      <c r="G181" s="63" t="s">
        <v>399</v>
      </c>
      <c r="H181" s="46">
        <v>856</v>
      </c>
      <c r="I181" s="47" t="s">
        <v>236</v>
      </c>
      <c r="J181" s="44"/>
      <c r="K181" s="71">
        <v>0.288</v>
      </c>
      <c r="L181" s="49">
        <v>0.13</v>
      </c>
      <c r="M181" s="50">
        <f t="shared" si="4"/>
        <v>246.528</v>
      </c>
      <c r="N181" s="46"/>
      <c r="O181" s="45"/>
      <c r="P181" s="53"/>
      <c r="Q181" s="32" t="e">
        <f>VLOOKUP(N181,[1]Sheet1!$F$1:$H$126,3,0)</f>
        <v>#N/A</v>
      </c>
    </row>
    <row r="182" s="32" customFormat="1" spans="1:17">
      <c r="A182" s="44">
        <v>180</v>
      </c>
      <c r="B182" s="44"/>
      <c r="C182" s="44" t="s">
        <v>24</v>
      </c>
      <c r="D182" s="44"/>
      <c r="E182" s="45" t="s">
        <v>129</v>
      </c>
      <c r="F182" s="63" t="s">
        <v>432</v>
      </c>
      <c r="G182" s="63" t="s">
        <v>399</v>
      </c>
      <c r="H182" s="46">
        <v>215</v>
      </c>
      <c r="I182" s="47" t="s">
        <v>236</v>
      </c>
      <c r="J182" s="44"/>
      <c r="K182" s="71">
        <v>0.146</v>
      </c>
      <c r="L182" s="49">
        <v>0.13</v>
      </c>
      <c r="M182" s="50">
        <f t="shared" si="4"/>
        <v>31.39</v>
      </c>
      <c r="N182" s="46" t="s">
        <v>357</v>
      </c>
      <c r="O182" s="45">
        <v>46006</v>
      </c>
      <c r="P182" s="53" t="s">
        <v>433</v>
      </c>
      <c r="Q182" s="32" t="e">
        <f>VLOOKUP(N182,[1]Sheet1!$F$1:$H$126,3,0)</f>
        <v>#N/A</v>
      </c>
    </row>
    <row r="183" s="32" customFormat="1" spans="1:17">
      <c r="A183" s="44">
        <v>181</v>
      </c>
      <c r="B183" s="44"/>
      <c r="C183" s="44" t="s">
        <v>24</v>
      </c>
      <c r="D183" s="44"/>
      <c r="E183" s="45"/>
      <c r="F183" s="63" t="s">
        <v>434</v>
      </c>
      <c r="G183" s="63" t="s">
        <v>399</v>
      </c>
      <c r="H183" s="46">
        <v>215</v>
      </c>
      <c r="I183" s="47" t="s">
        <v>236</v>
      </c>
      <c r="J183" s="44"/>
      <c r="K183" s="71">
        <v>0.146</v>
      </c>
      <c r="L183" s="49">
        <v>0.13</v>
      </c>
      <c r="M183" s="50">
        <f t="shared" si="4"/>
        <v>31.39</v>
      </c>
      <c r="N183" s="46"/>
      <c r="O183" s="45"/>
      <c r="P183" s="53"/>
      <c r="Q183" s="32" t="e">
        <f>VLOOKUP(N183,[1]Sheet1!$F$1:$H$126,3,0)</f>
        <v>#N/A</v>
      </c>
    </row>
    <row r="184" s="32" customFormat="1" spans="1:17">
      <c r="A184" s="44">
        <v>182</v>
      </c>
      <c r="B184" s="44"/>
      <c r="C184" s="44" t="s">
        <v>24</v>
      </c>
      <c r="D184" s="44"/>
      <c r="E184" s="45"/>
      <c r="F184" s="63" t="s">
        <v>435</v>
      </c>
      <c r="G184" s="63" t="s">
        <v>399</v>
      </c>
      <c r="H184" s="46">
        <v>215</v>
      </c>
      <c r="I184" s="47" t="s">
        <v>236</v>
      </c>
      <c r="J184" s="44"/>
      <c r="K184" s="48">
        <v>0.16</v>
      </c>
      <c r="L184" s="49">
        <v>0.13</v>
      </c>
      <c r="M184" s="50">
        <f t="shared" si="4"/>
        <v>34.4</v>
      </c>
      <c r="N184" s="46"/>
      <c r="O184" s="45"/>
      <c r="P184" s="53"/>
      <c r="Q184" s="32" t="e">
        <f>VLOOKUP(N184,[1]Sheet1!$F$1:$H$126,3,0)</f>
        <v>#N/A</v>
      </c>
    </row>
    <row r="185" s="32" customFormat="1" spans="1:17">
      <c r="A185" s="44">
        <v>183</v>
      </c>
      <c r="B185" s="44"/>
      <c r="C185" s="44" t="s">
        <v>24</v>
      </c>
      <c r="D185" s="44"/>
      <c r="E185" s="45"/>
      <c r="F185" s="63" t="s">
        <v>436</v>
      </c>
      <c r="G185" s="63" t="s">
        <v>399</v>
      </c>
      <c r="H185" s="46">
        <v>215</v>
      </c>
      <c r="I185" s="47" t="s">
        <v>236</v>
      </c>
      <c r="J185" s="44"/>
      <c r="K185" s="48">
        <v>0.16</v>
      </c>
      <c r="L185" s="49">
        <v>0.13</v>
      </c>
      <c r="M185" s="50">
        <f t="shared" si="4"/>
        <v>34.4</v>
      </c>
      <c r="N185" s="46"/>
      <c r="O185" s="45"/>
      <c r="P185" s="53"/>
      <c r="Q185" s="32" t="e">
        <f>VLOOKUP(N185,[1]Sheet1!$F$1:$H$126,3,0)</f>
        <v>#N/A</v>
      </c>
    </row>
    <row r="186" s="32" customFormat="1" spans="1:17">
      <c r="A186" s="44">
        <v>184</v>
      </c>
      <c r="B186" s="44"/>
      <c r="C186" s="44" t="s">
        <v>24</v>
      </c>
      <c r="D186" s="44"/>
      <c r="E186" s="45"/>
      <c r="F186" s="63" t="s">
        <v>437</v>
      </c>
      <c r="G186" s="63" t="s">
        <v>399</v>
      </c>
      <c r="H186" s="46">
        <v>300</v>
      </c>
      <c r="I186" s="47" t="s">
        <v>236</v>
      </c>
      <c r="J186" s="44"/>
      <c r="K186" s="71">
        <v>0.146</v>
      </c>
      <c r="L186" s="49">
        <v>0.13</v>
      </c>
      <c r="M186" s="50">
        <f t="shared" si="4"/>
        <v>43.8</v>
      </c>
      <c r="N186" s="46"/>
      <c r="O186" s="45"/>
      <c r="P186" s="53"/>
      <c r="Q186" s="32" t="e">
        <f>VLOOKUP(N186,[1]Sheet1!$F$1:$H$126,3,0)</f>
        <v>#N/A</v>
      </c>
    </row>
    <row r="187" s="32" customFormat="1" spans="1:17">
      <c r="A187" s="44">
        <v>185</v>
      </c>
      <c r="B187" s="44"/>
      <c r="C187" s="44" t="s">
        <v>24</v>
      </c>
      <c r="D187" s="44"/>
      <c r="E187" s="45"/>
      <c r="F187" s="63" t="s">
        <v>438</v>
      </c>
      <c r="G187" s="63" t="s">
        <v>399</v>
      </c>
      <c r="H187" s="46">
        <v>300</v>
      </c>
      <c r="I187" s="47" t="s">
        <v>236</v>
      </c>
      <c r="J187" s="44"/>
      <c r="K187" s="71">
        <v>0.146</v>
      </c>
      <c r="L187" s="49">
        <v>0.13</v>
      </c>
      <c r="M187" s="50">
        <f t="shared" ref="M187:M224" si="5">K187*H187</f>
        <v>43.8</v>
      </c>
      <c r="N187" s="46"/>
      <c r="O187" s="45"/>
      <c r="P187" s="53"/>
      <c r="Q187" s="32" t="e">
        <f>VLOOKUP(N187,[1]Sheet1!$F$1:$H$126,3,0)</f>
        <v>#N/A</v>
      </c>
    </row>
    <row r="188" s="32" customFormat="1" spans="1:17">
      <c r="A188" s="44">
        <v>186</v>
      </c>
      <c r="B188" s="44"/>
      <c r="C188" s="44" t="s">
        <v>24</v>
      </c>
      <c r="D188" s="44"/>
      <c r="E188" s="45"/>
      <c r="F188" s="63" t="s">
        <v>439</v>
      </c>
      <c r="G188" s="63" t="s">
        <v>399</v>
      </c>
      <c r="H188" s="46">
        <v>300</v>
      </c>
      <c r="I188" s="47" t="s">
        <v>236</v>
      </c>
      <c r="J188" s="44"/>
      <c r="K188" s="48">
        <v>0.16</v>
      </c>
      <c r="L188" s="49">
        <v>0.13</v>
      </c>
      <c r="M188" s="50">
        <f t="shared" si="5"/>
        <v>48</v>
      </c>
      <c r="N188" s="46"/>
      <c r="O188" s="45"/>
      <c r="P188" s="53"/>
      <c r="Q188" s="32" t="e">
        <f>VLOOKUP(N188,[1]Sheet1!$F$1:$H$126,3,0)</f>
        <v>#N/A</v>
      </c>
    </row>
    <row r="189" s="32" customFormat="1" spans="1:17">
      <c r="A189" s="44">
        <v>187</v>
      </c>
      <c r="B189" s="44"/>
      <c r="C189" s="44" t="s">
        <v>24</v>
      </c>
      <c r="D189" s="44"/>
      <c r="E189" s="45"/>
      <c r="F189" s="63" t="s">
        <v>440</v>
      </c>
      <c r="G189" s="63" t="s">
        <v>399</v>
      </c>
      <c r="H189" s="46">
        <v>300</v>
      </c>
      <c r="I189" s="47" t="s">
        <v>236</v>
      </c>
      <c r="J189" s="44"/>
      <c r="K189" s="48">
        <v>0.16</v>
      </c>
      <c r="L189" s="49">
        <v>0.13</v>
      </c>
      <c r="M189" s="50">
        <f t="shared" si="5"/>
        <v>48</v>
      </c>
      <c r="N189" s="46"/>
      <c r="O189" s="45"/>
      <c r="P189" s="53"/>
      <c r="Q189" s="32" t="e">
        <f>VLOOKUP(N189,[1]Sheet1!$F$1:$H$126,3,0)</f>
        <v>#N/A</v>
      </c>
    </row>
    <row r="190" s="32" customFormat="1" spans="1:17">
      <c r="A190" s="44">
        <v>188</v>
      </c>
      <c r="B190" s="44"/>
      <c r="C190" s="44" t="s">
        <v>24</v>
      </c>
      <c r="D190" s="44"/>
      <c r="E190" s="45"/>
      <c r="F190" s="63" t="s">
        <v>441</v>
      </c>
      <c r="G190" s="63" t="s">
        <v>399</v>
      </c>
      <c r="H190" s="46">
        <v>276</v>
      </c>
      <c r="I190" s="47" t="s">
        <v>236</v>
      </c>
      <c r="J190" s="44"/>
      <c r="K190" s="71">
        <v>0.146</v>
      </c>
      <c r="L190" s="49">
        <v>0.13</v>
      </c>
      <c r="M190" s="50">
        <f t="shared" si="5"/>
        <v>40.296</v>
      </c>
      <c r="N190" s="46"/>
      <c r="O190" s="45"/>
      <c r="P190" s="53"/>
      <c r="Q190" s="32" t="e">
        <f>VLOOKUP(N190,[1]Sheet1!$F$1:$H$126,3,0)</f>
        <v>#N/A</v>
      </c>
    </row>
    <row r="191" s="32" customFormat="1" spans="1:17">
      <c r="A191" s="44">
        <v>189</v>
      </c>
      <c r="B191" s="44"/>
      <c r="C191" s="44" t="s">
        <v>24</v>
      </c>
      <c r="D191" s="44"/>
      <c r="E191" s="45"/>
      <c r="F191" s="63" t="s">
        <v>442</v>
      </c>
      <c r="G191" s="63" t="s">
        <v>399</v>
      </c>
      <c r="H191" s="46">
        <v>276</v>
      </c>
      <c r="I191" s="47" t="s">
        <v>236</v>
      </c>
      <c r="J191" s="44"/>
      <c r="K191" s="71">
        <v>0.146</v>
      </c>
      <c r="L191" s="49">
        <v>0.13</v>
      </c>
      <c r="M191" s="50">
        <f t="shared" si="5"/>
        <v>40.296</v>
      </c>
      <c r="N191" s="46"/>
      <c r="O191" s="45"/>
      <c r="P191" s="53"/>
      <c r="Q191" s="32" t="e">
        <f>VLOOKUP(N191,[1]Sheet1!$F$1:$H$126,3,0)</f>
        <v>#N/A</v>
      </c>
    </row>
    <row r="192" s="32" customFormat="1" spans="1:17">
      <c r="A192" s="44">
        <v>190</v>
      </c>
      <c r="B192" s="44"/>
      <c r="C192" s="44" t="s">
        <v>24</v>
      </c>
      <c r="D192" s="44"/>
      <c r="E192" s="45"/>
      <c r="F192" s="63" t="s">
        <v>443</v>
      </c>
      <c r="G192" s="63" t="s">
        <v>399</v>
      </c>
      <c r="H192" s="46">
        <v>276</v>
      </c>
      <c r="I192" s="47" t="s">
        <v>236</v>
      </c>
      <c r="J192" s="44"/>
      <c r="K192" s="48">
        <v>0.16</v>
      </c>
      <c r="L192" s="49">
        <v>0.13</v>
      </c>
      <c r="M192" s="50">
        <f t="shared" si="5"/>
        <v>44.16</v>
      </c>
      <c r="N192" s="46"/>
      <c r="O192" s="45"/>
      <c r="P192" s="53"/>
      <c r="Q192" s="32" t="e">
        <f>VLOOKUP(N192,[1]Sheet1!$F$1:$H$126,3,0)</f>
        <v>#N/A</v>
      </c>
    </row>
    <row r="193" s="32" customFormat="1" spans="1:17">
      <c r="A193" s="44">
        <v>191</v>
      </c>
      <c r="B193" s="44"/>
      <c r="C193" s="44" t="s">
        <v>24</v>
      </c>
      <c r="D193" s="44"/>
      <c r="E193" s="45"/>
      <c r="F193" s="63" t="s">
        <v>444</v>
      </c>
      <c r="G193" s="63" t="s">
        <v>399</v>
      </c>
      <c r="H193" s="46">
        <v>276</v>
      </c>
      <c r="I193" s="47" t="s">
        <v>236</v>
      </c>
      <c r="J193" s="44"/>
      <c r="K193" s="48">
        <v>0.16</v>
      </c>
      <c r="L193" s="49">
        <v>0.13</v>
      </c>
      <c r="M193" s="50">
        <f t="shared" si="5"/>
        <v>44.16</v>
      </c>
      <c r="N193" s="46"/>
      <c r="O193" s="45"/>
      <c r="P193" s="53"/>
      <c r="Q193" s="32" t="e">
        <f>VLOOKUP(N193,[1]Sheet1!$F$1:$H$126,3,0)</f>
        <v>#N/A</v>
      </c>
    </row>
    <row r="194" s="32" customFormat="1" spans="1:17">
      <c r="A194" s="44">
        <v>192</v>
      </c>
      <c r="B194" s="44"/>
      <c r="C194" s="44" t="s">
        <v>24</v>
      </c>
      <c r="D194" s="44"/>
      <c r="E194" s="45"/>
      <c r="F194" s="63" t="s">
        <v>445</v>
      </c>
      <c r="G194" s="63" t="s">
        <v>399</v>
      </c>
      <c r="H194" s="46">
        <v>158</v>
      </c>
      <c r="I194" s="47" t="s">
        <v>236</v>
      </c>
      <c r="J194" s="44"/>
      <c r="K194" s="71">
        <v>0.146</v>
      </c>
      <c r="L194" s="49">
        <v>0.13</v>
      </c>
      <c r="M194" s="50">
        <f t="shared" si="5"/>
        <v>23.068</v>
      </c>
      <c r="N194" s="46"/>
      <c r="O194" s="45"/>
      <c r="P194" s="53"/>
      <c r="Q194" s="32" t="e">
        <f>VLOOKUP(N194,[1]Sheet1!$F$1:$H$126,3,0)</f>
        <v>#N/A</v>
      </c>
    </row>
    <row r="195" s="32" customFormat="1" spans="1:17">
      <c r="A195" s="44">
        <v>193</v>
      </c>
      <c r="B195" s="44"/>
      <c r="C195" s="44" t="s">
        <v>24</v>
      </c>
      <c r="D195" s="44"/>
      <c r="E195" s="45"/>
      <c r="F195" s="63" t="s">
        <v>446</v>
      </c>
      <c r="G195" s="63" t="s">
        <v>399</v>
      </c>
      <c r="H195" s="46">
        <v>158</v>
      </c>
      <c r="I195" s="47" t="s">
        <v>236</v>
      </c>
      <c r="J195" s="44"/>
      <c r="K195" s="71">
        <v>0.146</v>
      </c>
      <c r="L195" s="49">
        <v>0.13</v>
      </c>
      <c r="M195" s="50">
        <f t="shared" si="5"/>
        <v>23.068</v>
      </c>
      <c r="N195" s="46"/>
      <c r="O195" s="45"/>
      <c r="P195" s="53"/>
      <c r="Q195" s="32" t="e">
        <f>VLOOKUP(N195,[1]Sheet1!$F$1:$H$126,3,0)</f>
        <v>#N/A</v>
      </c>
    </row>
    <row r="196" s="32" customFormat="1" spans="1:17">
      <c r="A196" s="44">
        <v>194</v>
      </c>
      <c r="B196" s="44"/>
      <c r="C196" s="44" t="s">
        <v>24</v>
      </c>
      <c r="D196" s="44"/>
      <c r="E196" s="45"/>
      <c r="F196" s="63" t="s">
        <v>447</v>
      </c>
      <c r="G196" s="63" t="s">
        <v>399</v>
      </c>
      <c r="H196" s="46">
        <v>158</v>
      </c>
      <c r="I196" s="47" t="s">
        <v>236</v>
      </c>
      <c r="J196" s="44"/>
      <c r="K196" s="48">
        <v>0.16</v>
      </c>
      <c r="L196" s="49">
        <v>0.13</v>
      </c>
      <c r="M196" s="50">
        <f t="shared" si="5"/>
        <v>25.28</v>
      </c>
      <c r="N196" s="46"/>
      <c r="O196" s="45"/>
      <c r="P196" s="53"/>
      <c r="Q196" s="32" t="e">
        <f>VLOOKUP(N196,[1]Sheet1!$F$1:$H$126,3,0)</f>
        <v>#N/A</v>
      </c>
    </row>
    <row r="197" s="32" customFormat="1" spans="1:17">
      <c r="A197" s="44">
        <v>195</v>
      </c>
      <c r="B197" s="44"/>
      <c r="C197" s="44" t="s">
        <v>24</v>
      </c>
      <c r="D197" s="44"/>
      <c r="E197" s="45"/>
      <c r="F197" s="63" t="s">
        <v>448</v>
      </c>
      <c r="G197" s="63" t="s">
        <v>399</v>
      </c>
      <c r="H197" s="46">
        <v>158</v>
      </c>
      <c r="I197" s="47" t="s">
        <v>236</v>
      </c>
      <c r="J197" s="44"/>
      <c r="K197" s="48">
        <v>0.16</v>
      </c>
      <c r="L197" s="49">
        <v>0.13</v>
      </c>
      <c r="M197" s="50">
        <f t="shared" si="5"/>
        <v>25.28</v>
      </c>
      <c r="N197" s="46"/>
      <c r="O197" s="45"/>
      <c r="P197" s="53"/>
      <c r="Q197" s="32" t="e">
        <f>VLOOKUP(N197,[1]Sheet1!$F$1:$H$126,3,0)</f>
        <v>#N/A</v>
      </c>
    </row>
    <row r="198" s="32" customFormat="1" spans="1:17">
      <c r="A198" s="44">
        <v>196</v>
      </c>
      <c r="B198" s="44"/>
      <c r="C198" s="44" t="s">
        <v>24</v>
      </c>
      <c r="D198" s="44"/>
      <c r="E198" s="45" t="s">
        <v>129</v>
      </c>
      <c r="F198" s="65" t="s">
        <v>449</v>
      </c>
      <c r="G198" s="63" t="s">
        <v>450</v>
      </c>
      <c r="H198" s="65">
        <v>20</v>
      </c>
      <c r="I198" s="65" t="s">
        <v>259</v>
      </c>
      <c r="J198" s="44"/>
      <c r="K198" s="72">
        <v>108</v>
      </c>
      <c r="L198" s="49">
        <v>0.13</v>
      </c>
      <c r="M198" s="50">
        <f t="shared" si="5"/>
        <v>2160</v>
      </c>
      <c r="N198" s="46" t="s">
        <v>451</v>
      </c>
      <c r="O198" s="45">
        <v>46032</v>
      </c>
      <c r="P198" s="53" t="s">
        <v>452</v>
      </c>
      <c r="Q198" s="32" t="e">
        <f>VLOOKUP(N198,[1]Sheet1!$F$1:$H$126,3,0)</f>
        <v>#N/A</v>
      </c>
    </row>
    <row r="199" s="32" customFormat="1" spans="1:17">
      <c r="A199" s="44">
        <v>197</v>
      </c>
      <c r="B199" s="44"/>
      <c r="C199" s="44" t="s">
        <v>24</v>
      </c>
      <c r="D199" s="44"/>
      <c r="E199" s="45"/>
      <c r="F199" s="65" t="s">
        <v>449</v>
      </c>
      <c r="G199" s="63" t="s">
        <v>453</v>
      </c>
      <c r="H199" s="65">
        <v>500</v>
      </c>
      <c r="I199" s="65" t="s">
        <v>454</v>
      </c>
      <c r="J199" s="44"/>
      <c r="K199" s="72">
        <v>1.5</v>
      </c>
      <c r="L199" s="49">
        <v>0.13</v>
      </c>
      <c r="M199" s="50">
        <f t="shared" si="5"/>
        <v>750</v>
      </c>
      <c r="N199" s="46"/>
      <c r="O199" s="45"/>
      <c r="P199" s="53"/>
      <c r="Q199" s="32" t="e">
        <f>VLOOKUP(N199,[1]Sheet1!$F$1:$H$126,3,0)</f>
        <v>#N/A</v>
      </c>
    </row>
    <row r="200" s="32" customFormat="1" spans="1:17">
      <c r="A200" s="44">
        <v>198</v>
      </c>
      <c r="B200" s="44"/>
      <c r="C200" s="44" t="s">
        <v>24</v>
      </c>
      <c r="D200" s="44"/>
      <c r="E200" s="45" t="s">
        <v>129</v>
      </c>
      <c r="F200" s="65" t="s">
        <v>455</v>
      </c>
      <c r="G200" s="65" t="s">
        <v>456</v>
      </c>
      <c r="H200" s="46">
        <v>5</v>
      </c>
      <c r="I200" s="47" t="s">
        <v>457</v>
      </c>
      <c r="J200" s="44"/>
      <c r="K200" s="48">
        <v>13</v>
      </c>
      <c r="L200" s="49">
        <v>0.13</v>
      </c>
      <c r="M200" s="50">
        <f t="shared" si="5"/>
        <v>65</v>
      </c>
      <c r="N200" s="46" t="s">
        <v>312</v>
      </c>
      <c r="O200" s="57">
        <v>46030</v>
      </c>
      <c r="P200" s="53" t="s">
        <v>458</v>
      </c>
      <c r="Q200" s="32" t="e">
        <f>VLOOKUP(N200,[1]Sheet1!$F$1:$H$126,3,0)</f>
        <v>#N/A</v>
      </c>
    </row>
    <row r="201" s="32" customFormat="1" spans="1:17">
      <c r="A201" s="44">
        <v>199</v>
      </c>
      <c r="B201" s="44"/>
      <c r="C201" s="44" t="s">
        <v>24</v>
      </c>
      <c r="D201" s="44"/>
      <c r="E201" s="45" t="s">
        <v>129</v>
      </c>
      <c r="F201" s="65" t="s">
        <v>459</v>
      </c>
      <c r="G201" s="63" t="s">
        <v>460</v>
      </c>
      <c r="H201" s="65">
        <v>10</v>
      </c>
      <c r="I201" s="65" t="s">
        <v>259</v>
      </c>
      <c r="J201" s="44"/>
      <c r="K201" s="48">
        <v>78</v>
      </c>
      <c r="L201" s="49">
        <v>0.13</v>
      </c>
      <c r="M201" s="50">
        <f t="shared" si="5"/>
        <v>780</v>
      </c>
      <c r="N201" s="46" t="s">
        <v>451</v>
      </c>
      <c r="O201" s="57">
        <v>46031</v>
      </c>
      <c r="P201" s="53" t="s">
        <v>461</v>
      </c>
      <c r="Q201" s="32" t="e">
        <f>VLOOKUP(N201,[1]Sheet1!$F$1:$H$126,3,0)</f>
        <v>#N/A</v>
      </c>
    </row>
    <row r="202" s="32" customFormat="1" spans="1:17">
      <c r="A202" s="44">
        <v>200</v>
      </c>
      <c r="B202" s="44"/>
      <c r="C202" s="44" t="s">
        <v>24</v>
      </c>
      <c r="D202" s="44"/>
      <c r="E202" s="45" t="s">
        <v>129</v>
      </c>
      <c r="F202" s="63" t="s">
        <v>285</v>
      </c>
      <c r="G202" s="63" t="s">
        <v>392</v>
      </c>
      <c r="H202" s="65">
        <v>16.22</v>
      </c>
      <c r="I202" s="65" t="s">
        <v>259</v>
      </c>
      <c r="J202" s="44"/>
      <c r="K202" s="63">
        <v>42.43</v>
      </c>
      <c r="L202" s="49">
        <v>0.13</v>
      </c>
      <c r="M202" s="50">
        <f t="shared" si="5"/>
        <v>688.2146</v>
      </c>
      <c r="N202" s="46" t="s">
        <v>286</v>
      </c>
      <c r="O202" s="57">
        <v>46034</v>
      </c>
      <c r="P202" s="53" t="s">
        <v>462</v>
      </c>
      <c r="Q202" s="32" t="e">
        <f>VLOOKUP(N202,[1]Sheet1!$F$1:$H$126,3,0)</f>
        <v>#N/A</v>
      </c>
    </row>
    <row r="203" s="32" customFormat="1" spans="1:17">
      <c r="A203" s="44">
        <v>201</v>
      </c>
      <c r="B203" s="44"/>
      <c r="C203" s="44" t="s">
        <v>24</v>
      </c>
      <c r="D203" s="44"/>
      <c r="E203" s="57" t="s">
        <v>129</v>
      </c>
      <c r="F203" s="65" t="s">
        <v>327</v>
      </c>
      <c r="G203" s="65" t="s">
        <v>328</v>
      </c>
      <c r="H203" s="65">
        <v>1</v>
      </c>
      <c r="I203" s="65" t="s">
        <v>259</v>
      </c>
      <c r="J203" s="44"/>
      <c r="K203" s="62">
        <v>450</v>
      </c>
      <c r="L203" s="49">
        <v>0.13</v>
      </c>
      <c r="M203" s="50">
        <f t="shared" si="5"/>
        <v>450</v>
      </c>
      <c r="N203" s="47" t="s">
        <v>300</v>
      </c>
      <c r="O203" s="57">
        <v>46034</v>
      </c>
      <c r="P203" s="61" t="s">
        <v>463</v>
      </c>
      <c r="Q203" s="32" t="e">
        <f>VLOOKUP(N203,[1]Sheet1!$F$1:$H$126,3,0)</f>
        <v>#N/A</v>
      </c>
    </row>
    <row r="204" s="32" customFormat="1" spans="1:17">
      <c r="A204" s="44">
        <v>202</v>
      </c>
      <c r="B204" s="44"/>
      <c r="C204" s="44" t="s">
        <v>24</v>
      </c>
      <c r="D204" s="44"/>
      <c r="E204" s="57"/>
      <c r="F204" s="65" t="s">
        <v>464</v>
      </c>
      <c r="G204" s="63" t="s">
        <v>465</v>
      </c>
      <c r="H204" s="65">
        <v>0.1</v>
      </c>
      <c r="I204" s="65" t="s">
        <v>259</v>
      </c>
      <c r="J204" s="44"/>
      <c r="K204" s="62">
        <v>520</v>
      </c>
      <c r="L204" s="49">
        <v>0.13</v>
      </c>
      <c r="M204" s="50">
        <f t="shared" si="5"/>
        <v>52</v>
      </c>
      <c r="N204" s="47"/>
      <c r="O204" s="57"/>
      <c r="P204" s="61"/>
      <c r="Q204" s="32" t="e">
        <f>VLOOKUP(N204,[1]Sheet1!$F$1:$H$126,3,0)</f>
        <v>#N/A</v>
      </c>
    </row>
    <row r="205" s="32" customFormat="1" spans="1:17">
      <c r="A205" s="44">
        <v>203</v>
      </c>
      <c r="B205" s="44"/>
      <c r="C205" s="44" t="s">
        <v>24</v>
      </c>
      <c r="D205" s="44"/>
      <c r="E205" s="57"/>
      <c r="F205" s="65" t="s">
        <v>464</v>
      </c>
      <c r="G205" s="63" t="s">
        <v>466</v>
      </c>
      <c r="H205" s="65">
        <v>0.1</v>
      </c>
      <c r="I205" s="65" t="s">
        <v>259</v>
      </c>
      <c r="J205" s="44"/>
      <c r="K205" s="62">
        <v>550</v>
      </c>
      <c r="L205" s="49">
        <v>0.13</v>
      </c>
      <c r="M205" s="50">
        <f t="shared" si="5"/>
        <v>55</v>
      </c>
      <c r="N205" s="47"/>
      <c r="O205" s="57"/>
      <c r="P205" s="61"/>
      <c r="Q205" s="32" t="e">
        <f>VLOOKUP(N205,[1]Sheet1!$F$1:$H$126,3,0)</f>
        <v>#N/A</v>
      </c>
    </row>
    <row r="206" s="32" customFormat="1" spans="1:17">
      <c r="A206" s="44">
        <v>204</v>
      </c>
      <c r="B206" s="44"/>
      <c r="C206" s="44" t="s">
        <v>24</v>
      </c>
      <c r="D206" s="44"/>
      <c r="E206" s="45" t="s">
        <v>129</v>
      </c>
      <c r="F206" s="65" t="s">
        <v>467</v>
      </c>
      <c r="G206" s="65" t="s">
        <v>468</v>
      </c>
      <c r="H206" s="46">
        <v>2</v>
      </c>
      <c r="I206" s="65" t="s">
        <v>469</v>
      </c>
      <c r="J206" s="44"/>
      <c r="K206" s="48">
        <v>81</v>
      </c>
      <c r="L206" s="49">
        <v>0.01</v>
      </c>
      <c r="M206" s="50">
        <f t="shared" si="5"/>
        <v>162</v>
      </c>
      <c r="N206" s="46" t="s">
        <v>312</v>
      </c>
      <c r="O206" s="45">
        <v>46038</v>
      </c>
      <c r="P206" s="53" t="s">
        <v>470</v>
      </c>
      <c r="Q206" s="32" t="e">
        <f>VLOOKUP(N206,[1]Sheet1!$F$1:$H$126,3,0)</f>
        <v>#N/A</v>
      </c>
    </row>
    <row r="207" s="32" customFormat="1" spans="1:17">
      <c r="A207" s="44">
        <v>205</v>
      </c>
      <c r="B207" s="44"/>
      <c r="C207" s="44" t="s">
        <v>24</v>
      </c>
      <c r="D207" s="44"/>
      <c r="E207" s="45" t="s">
        <v>129</v>
      </c>
      <c r="F207" s="65" t="s">
        <v>471</v>
      </c>
      <c r="G207" s="65" t="s">
        <v>472</v>
      </c>
      <c r="H207" s="46">
        <v>1</v>
      </c>
      <c r="I207" s="65" t="s">
        <v>473</v>
      </c>
      <c r="J207" s="44"/>
      <c r="K207" s="48">
        <v>1780</v>
      </c>
      <c r="L207" s="49">
        <v>0.13</v>
      </c>
      <c r="M207" s="50">
        <f t="shared" si="5"/>
        <v>1780</v>
      </c>
      <c r="N207" s="46" t="s">
        <v>320</v>
      </c>
      <c r="O207" s="45">
        <v>46038</v>
      </c>
      <c r="P207" s="53" t="s">
        <v>474</v>
      </c>
      <c r="Q207" s="32" t="e">
        <f>VLOOKUP(N207,[1]Sheet1!$F$1:$H$126,3,0)</f>
        <v>#N/A</v>
      </c>
    </row>
    <row r="208" s="32" customFormat="1" spans="1:17">
      <c r="A208" s="44">
        <v>206</v>
      </c>
      <c r="B208" s="44"/>
      <c r="C208" s="44" t="s">
        <v>24</v>
      </c>
      <c r="D208" s="44"/>
      <c r="E208" s="45" t="s">
        <v>129</v>
      </c>
      <c r="F208" s="46" t="s">
        <v>475</v>
      </c>
      <c r="G208" s="47" t="s">
        <v>476</v>
      </c>
      <c r="H208" s="46">
        <v>104</v>
      </c>
      <c r="I208" s="47" t="s">
        <v>131</v>
      </c>
      <c r="J208" s="44"/>
      <c r="K208" s="48">
        <v>22.5</v>
      </c>
      <c r="L208" s="49">
        <v>0.13</v>
      </c>
      <c r="M208" s="50">
        <f t="shared" si="5"/>
        <v>2340</v>
      </c>
      <c r="N208" s="46" t="s">
        <v>477</v>
      </c>
      <c r="O208" s="45">
        <v>46036</v>
      </c>
      <c r="P208" s="53" t="s">
        <v>478</v>
      </c>
      <c r="Q208" s="32" t="str">
        <f>VLOOKUP(N208,[1]Sheet1!$F$1:$H$149,3,0)</f>
        <v>月结</v>
      </c>
    </row>
    <row r="209" s="32" customFormat="1" spans="1:20">
      <c r="A209" s="44">
        <v>207</v>
      </c>
      <c r="B209" s="44"/>
      <c r="C209" s="44" t="s">
        <v>24</v>
      </c>
      <c r="D209" s="44"/>
      <c r="E209" s="45" t="s">
        <v>129</v>
      </c>
      <c r="F209" s="46" t="s">
        <v>311</v>
      </c>
      <c r="G209" s="47" t="s">
        <v>403</v>
      </c>
      <c r="H209" s="46">
        <v>7</v>
      </c>
      <c r="I209" s="47" t="s">
        <v>202</v>
      </c>
      <c r="J209" s="44"/>
      <c r="K209" s="48">
        <v>83</v>
      </c>
      <c r="L209" s="49">
        <v>0.13</v>
      </c>
      <c r="M209" s="50">
        <f t="shared" si="5"/>
        <v>581</v>
      </c>
      <c r="N209" s="46" t="s">
        <v>312</v>
      </c>
      <c r="O209" s="45">
        <v>46049</v>
      </c>
      <c r="P209" s="53" t="s">
        <v>479</v>
      </c>
      <c r="Q209" s="32" t="e">
        <f>VLOOKUP(N209,[1]Sheet1!$F$1:$H$126,3,0)</f>
        <v>#N/A</v>
      </c>
    </row>
    <row r="210" s="32" customFormat="1" spans="1:20">
      <c r="A210" s="44">
        <v>208</v>
      </c>
      <c r="B210" s="44"/>
      <c r="C210" s="44" t="s">
        <v>24</v>
      </c>
      <c r="D210" s="44"/>
      <c r="E210" s="45" t="s">
        <v>129</v>
      </c>
      <c r="F210" s="63" t="s">
        <v>480</v>
      </c>
      <c r="G210" s="63" t="s">
        <v>481</v>
      </c>
      <c r="H210" s="46">
        <v>1</v>
      </c>
      <c r="I210" s="47" t="s">
        <v>469</v>
      </c>
      <c r="J210" s="44"/>
      <c r="K210" s="48">
        <v>107.915</v>
      </c>
      <c r="L210" s="49">
        <v>0.13</v>
      </c>
      <c r="M210" s="50">
        <f t="shared" si="5"/>
        <v>107.915</v>
      </c>
      <c r="N210" s="46" t="s">
        <v>312</v>
      </c>
      <c r="O210" s="45">
        <v>46048</v>
      </c>
      <c r="P210" s="53" t="s">
        <v>482</v>
      </c>
      <c r="Q210" s="32" t="e">
        <f>VLOOKUP(N210,[1]Sheet1!$F$1:$H$126,3,0)</f>
        <v>#N/A</v>
      </c>
    </row>
    <row r="211" s="32" customFormat="1" spans="1:20">
      <c r="A211" s="44">
        <v>209</v>
      </c>
      <c r="B211" s="44"/>
      <c r="C211" s="44" t="s">
        <v>24</v>
      </c>
      <c r="D211" s="44"/>
      <c r="E211" s="45" t="s">
        <v>129</v>
      </c>
      <c r="F211" s="63" t="s">
        <v>383</v>
      </c>
      <c r="G211" s="63" t="s">
        <v>384</v>
      </c>
      <c r="H211" s="46">
        <v>20</v>
      </c>
      <c r="I211" s="63" t="s">
        <v>109</v>
      </c>
      <c r="J211" s="44"/>
      <c r="K211" s="48">
        <v>40</v>
      </c>
      <c r="L211" s="49">
        <v>0.13</v>
      </c>
      <c r="M211" s="50">
        <f t="shared" si="5"/>
        <v>800</v>
      </c>
      <c r="N211" s="46" t="s">
        <v>271</v>
      </c>
      <c r="O211" s="45">
        <v>46050</v>
      </c>
      <c r="P211" s="53" t="s">
        <v>483</v>
      </c>
      <c r="Q211" s="32" t="e">
        <f>VLOOKUP(N211,[1]Sheet1!$F$1:$H$126,3,0)</f>
        <v>#N/A</v>
      </c>
    </row>
    <row r="212" s="32" customFormat="1" spans="1:20">
      <c r="A212" s="44">
        <v>210</v>
      </c>
      <c r="B212" s="44"/>
      <c r="C212" s="44" t="s">
        <v>24</v>
      </c>
      <c r="D212" s="44"/>
      <c r="E212" s="57" t="s">
        <v>129</v>
      </c>
      <c r="F212" s="63" t="s">
        <v>298</v>
      </c>
      <c r="G212" s="65" t="s">
        <v>299</v>
      </c>
      <c r="H212" s="65">
        <v>5</v>
      </c>
      <c r="I212" s="65" t="s">
        <v>252</v>
      </c>
      <c r="J212" s="44"/>
      <c r="K212" s="62">
        <v>220</v>
      </c>
      <c r="L212" s="49">
        <v>0.13</v>
      </c>
      <c r="M212" s="50">
        <f t="shared" si="5"/>
        <v>1100</v>
      </c>
      <c r="N212" s="47" t="s">
        <v>300</v>
      </c>
      <c r="O212" s="57">
        <v>46051</v>
      </c>
      <c r="P212" s="61" t="s">
        <v>484</v>
      </c>
      <c r="Q212" s="32" t="e">
        <f>VLOOKUP(N212,[1]Sheet1!$F$1:$H$126,3,0)</f>
        <v>#N/A</v>
      </c>
    </row>
    <row r="213" s="32" customFormat="1" spans="1:20">
      <c r="A213" s="44">
        <v>211</v>
      </c>
      <c r="B213" s="44"/>
      <c r="C213" s="44" t="s">
        <v>24</v>
      </c>
      <c r="D213" s="44"/>
      <c r="E213" s="57"/>
      <c r="F213" s="65" t="s">
        <v>327</v>
      </c>
      <c r="G213" s="63" t="s">
        <v>328</v>
      </c>
      <c r="H213" s="65">
        <v>2</v>
      </c>
      <c r="I213" s="65" t="s">
        <v>252</v>
      </c>
      <c r="J213" s="44"/>
      <c r="K213" s="72">
        <v>450</v>
      </c>
      <c r="L213" s="49">
        <v>0.13</v>
      </c>
      <c r="M213" s="50">
        <f t="shared" si="5"/>
        <v>900</v>
      </c>
      <c r="N213" s="47"/>
      <c r="O213" s="57"/>
      <c r="P213" s="61"/>
      <c r="Q213" s="32" t="e">
        <f>VLOOKUP(N213,[1]Sheet1!$F$1:$H$126,3,0)</f>
        <v>#N/A</v>
      </c>
    </row>
    <row r="214" s="32" customFormat="1" spans="1:20">
      <c r="A214" s="44">
        <v>212</v>
      </c>
      <c r="B214" s="44"/>
      <c r="C214" s="44" t="s">
        <v>24</v>
      </c>
      <c r="D214" s="44"/>
      <c r="E214" s="57"/>
      <c r="F214" s="65" t="s">
        <v>292</v>
      </c>
      <c r="G214" s="63" t="s">
        <v>302</v>
      </c>
      <c r="H214" s="65">
        <v>0.5</v>
      </c>
      <c r="I214" s="65" t="s">
        <v>252</v>
      </c>
      <c r="J214" s="44"/>
      <c r="K214" s="72">
        <v>450</v>
      </c>
      <c r="L214" s="49">
        <v>0.13</v>
      </c>
      <c r="M214" s="50">
        <f t="shared" si="5"/>
        <v>225</v>
      </c>
      <c r="N214" s="47"/>
      <c r="O214" s="57"/>
      <c r="P214" s="61"/>
      <c r="Q214" s="32" t="e">
        <f>VLOOKUP(N214,[1]Sheet1!$F$1:$H$126,3,0)</f>
        <v>#N/A</v>
      </c>
    </row>
    <row r="215" s="32" customFormat="1" spans="1:20">
      <c r="A215" s="44">
        <v>213</v>
      </c>
      <c r="B215" s="44"/>
      <c r="C215" s="44" t="s">
        <v>24</v>
      </c>
      <c r="D215" s="44"/>
      <c r="E215" s="57"/>
      <c r="F215" s="65" t="s">
        <v>464</v>
      </c>
      <c r="G215" s="63" t="s">
        <v>466</v>
      </c>
      <c r="H215" s="65">
        <v>0.5</v>
      </c>
      <c r="I215" s="65" t="s">
        <v>252</v>
      </c>
      <c r="J215" s="44"/>
      <c r="K215" s="72">
        <v>550</v>
      </c>
      <c r="L215" s="49">
        <v>0.13</v>
      </c>
      <c r="M215" s="50">
        <f t="shared" si="5"/>
        <v>275</v>
      </c>
      <c r="N215" s="47"/>
      <c r="O215" s="57"/>
      <c r="P215" s="61"/>
      <c r="Q215" s="32" t="e">
        <f>VLOOKUP(N215,[1]Sheet1!$F$1:$H$126,3,0)</f>
        <v>#N/A</v>
      </c>
    </row>
    <row r="216" s="32" customFormat="1" spans="1:20">
      <c r="A216" s="44">
        <v>214</v>
      </c>
      <c r="B216" s="44"/>
      <c r="C216" s="44" t="s">
        <v>24</v>
      </c>
      <c r="D216" s="44"/>
      <c r="E216" s="45" t="s">
        <v>129</v>
      </c>
      <c r="F216" s="65" t="s">
        <v>485</v>
      </c>
      <c r="G216" s="65" t="s">
        <v>486</v>
      </c>
      <c r="H216" s="46">
        <v>1</v>
      </c>
      <c r="I216" s="65" t="s">
        <v>473</v>
      </c>
      <c r="J216" s="44"/>
      <c r="K216" s="48">
        <v>500</v>
      </c>
      <c r="L216" s="49">
        <v>0.13</v>
      </c>
      <c r="M216" s="50">
        <f t="shared" si="5"/>
        <v>500</v>
      </c>
      <c r="N216" s="46" t="s">
        <v>300</v>
      </c>
      <c r="O216" s="57">
        <v>46052</v>
      </c>
      <c r="P216" s="53" t="s">
        <v>487</v>
      </c>
      <c r="Q216" s="32" t="e">
        <f>VLOOKUP(N216,[1]Sheet1!$F$1:$H$126,3,0)</f>
        <v>#N/A</v>
      </c>
    </row>
    <row r="217" s="32" customFormat="1" spans="1:20">
      <c r="A217" s="44">
        <v>215</v>
      </c>
      <c r="B217" s="44"/>
      <c r="C217" s="44" t="s">
        <v>24</v>
      </c>
      <c r="D217" s="44"/>
      <c r="E217" s="45" t="s">
        <v>129</v>
      </c>
      <c r="F217" s="46" t="s">
        <v>488</v>
      </c>
      <c r="G217" s="47" t="s">
        <v>489</v>
      </c>
      <c r="H217" s="46">
        <v>10</v>
      </c>
      <c r="I217" s="47" t="s">
        <v>131</v>
      </c>
      <c r="J217" s="44"/>
      <c r="K217" s="48">
        <v>780</v>
      </c>
      <c r="L217" s="49">
        <v>0.13</v>
      </c>
      <c r="M217" s="50">
        <f t="shared" si="5"/>
        <v>7800</v>
      </c>
      <c r="N217" s="46" t="s">
        <v>237</v>
      </c>
      <c r="O217" s="57">
        <v>46055</v>
      </c>
      <c r="P217" s="53" t="s">
        <v>490</v>
      </c>
      <c r="Q217" s="32" t="e">
        <f>VLOOKUP(N217,[1]Sheet1!$F$1:$H$126,3,0)</f>
        <v>#N/A</v>
      </c>
    </row>
    <row r="218" s="32" customFormat="1" spans="1:20">
      <c r="A218" s="44">
        <v>216</v>
      </c>
      <c r="B218" s="44"/>
      <c r="C218" s="44" t="s">
        <v>24</v>
      </c>
      <c r="D218" s="44"/>
      <c r="E218" s="45" t="s">
        <v>129</v>
      </c>
      <c r="F218" s="65" t="s">
        <v>363</v>
      </c>
      <c r="G218" s="65"/>
      <c r="H218" s="65">
        <v>20</v>
      </c>
      <c r="I218" s="65" t="s">
        <v>46</v>
      </c>
      <c r="J218" s="44"/>
      <c r="K218" s="62">
        <v>14.5</v>
      </c>
      <c r="L218" s="49">
        <v>0.13</v>
      </c>
      <c r="M218" s="50">
        <f t="shared" si="5"/>
        <v>290</v>
      </c>
      <c r="N218" s="46" t="s">
        <v>364</v>
      </c>
      <c r="O218" s="45">
        <v>46050</v>
      </c>
      <c r="P218" s="53" t="s">
        <v>491</v>
      </c>
      <c r="Q218" s="32" t="e">
        <f>VLOOKUP(N218,[1]Sheet1!$F$1:$H$126,3,0)</f>
        <v>#N/A</v>
      </c>
      <c r="S218" s="67" t="s">
        <v>402</v>
      </c>
      <c r="T218" s="32">
        <v>26.5</v>
      </c>
    </row>
    <row r="219" s="32" customFormat="1" spans="1:20">
      <c r="A219" s="44">
        <v>217</v>
      </c>
      <c r="B219" s="44"/>
      <c r="C219" s="44" t="s">
        <v>24</v>
      </c>
      <c r="D219" s="44"/>
      <c r="E219" s="45"/>
      <c r="F219" s="65" t="s">
        <v>492</v>
      </c>
      <c r="G219" s="63" t="s">
        <v>493</v>
      </c>
      <c r="H219" s="65">
        <v>20</v>
      </c>
      <c r="I219" s="65" t="s">
        <v>109</v>
      </c>
      <c r="J219" s="44"/>
      <c r="K219" s="72">
        <v>8</v>
      </c>
      <c r="L219" s="49">
        <v>0.13</v>
      </c>
      <c r="M219" s="50">
        <f t="shared" si="5"/>
        <v>160</v>
      </c>
      <c r="N219" s="46"/>
      <c r="O219" s="45"/>
      <c r="P219" s="53"/>
      <c r="Q219" s="32" t="e">
        <f>VLOOKUP(N219,[1]Sheet1!$F$1:$H$126,3,0)</f>
        <v>#N/A</v>
      </c>
    </row>
    <row r="220" s="32" customFormat="1" spans="1:20">
      <c r="A220" s="44">
        <v>218</v>
      </c>
      <c r="B220" s="44"/>
      <c r="C220" s="44" t="s">
        <v>24</v>
      </c>
      <c r="D220" s="44"/>
      <c r="E220" s="45" t="s">
        <v>129</v>
      </c>
      <c r="F220" s="65" t="s">
        <v>494</v>
      </c>
      <c r="G220" s="65" t="s">
        <v>495</v>
      </c>
      <c r="H220" s="65">
        <v>8.96</v>
      </c>
      <c r="I220" s="65" t="s">
        <v>131</v>
      </c>
      <c r="J220" s="44"/>
      <c r="K220" s="62">
        <v>115</v>
      </c>
      <c r="L220" s="49">
        <v>0.13</v>
      </c>
      <c r="M220" s="50">
        <f t="shared" si="5"/>
        <v>1030.4</v>
      </c>
      <c r="N220" s="46" t="s">
        <v>388</v>
      </c>
      <c r="O220" s="45">
        <v>46051</v>
      </c>
      <c r="P220" s="53" t="s">
        <v>496</v>
      </c>
      <c r="Q220" s="32" t="e">
        <f>VLOOKUP(N220,[1]Sheet1!$F$1:$H$126,3,0)</f>
        <v>#N/A</v>
      </c>
    </row>
    <row r="221" s="32" customFormat="1" spans="1:20">
      <c r="A221" s="44">
        <v>219</v>
      </c>
      <c r="B221" s="44"/>
      <c r="C221" s="44" t="s">
        <v>24</v>
      </c>
      <c r="D221" s="44"/>
      <c r="E221" s="45" t="s">
        <v>129</v>
      </c>
      <c r="F221" s="65" t="s">
        <v>497</v>
      </c>
      <c r="G221" s="65" t="s">
        <v>498</v>
      </c>
      <c r="H221" s="65">
        <v>208</v>
      </c>
      <c r="I221" s="65" t="s">
        <v>131</v>
      </c>
      <c r="J221" s="44"/>
      <c r="K221" s="62">
        <v>10</v>
      </c>
      <c r="L221" s="49">
        <v>0.13</v>
      </c>
      <c r="M221" s="50">
        <f t="shared" si="5"/>
        <v>2080</v>
      </c>
      <c r="N221" s="46" t="s">
        <v>145</v>
      </c>
      <c r="O221" s="45">
        <v>46055</v>
      </c>
      <c r="P221" s="53" t="s">
        <v>499</v>
      </c>
      <c r="Q221" s="32" t="str">
        <f>VLOOKUP(N221,[1]Sheet1!$F$1:$H$126,3,0)</f>
        <v>预付</v>
      </c>
    </row>
    <row r="222" s="32" customFormat="1" ht="30.4" customHeight="1" spans="1:20">
      <c r="A222" s="44">
        <v>219</v>
      </c>
      <c r="B222" s="44"/>
      <c r="C222" s="44" t="s">
        <v>24</v>
      </c>
      <c r="D222" s="44"/>
      <c r="E222" s="45" t="s">
        <v>129</v>
      </c>
      <c r="F222" s="73" t="s">
        <v>497</v>
      </c>
      <c r="G222" s="63" t="s">
        <v>498</v>
      </c>
      <c r="H222" s="65">
        <v>208</v>
      </c>
      <c r="I222" s="65" t="s">
        <v>131</v>
      </c>
      <c r="J222" s="44"/>
      <c r="K222" s="62">
        <v>10</v>
      </c>
      <c r="L222" s="49">
        <v>0.13</v>
      </c>
      <c r="M222" s="50">
        <f t="shared" si="5"/>
        <v>2080</v>
      </c>
      <c r="N222" s="46" t="s">
        <v>145</v>
      </c>
      <c r="O222" s="45">
        <v>46055</v>
      </c>
      <c r="P222" s="53" t="s">
        <v>499</v>
      </c>
      <c r="Q222" s="32" t="str">
        <f>VLOOKUP(N222,[1]Sheet1!$F$1:$H$126,3,0)</f>
        <v>预付</v>
      </c>
    </row>
    <row r="223" s="32" customFormat="1" ht="32.25" customHeight="1" spans="1:20">
      <c r="A223" s="44">
        <v>220</v>
      </c>
      <c r="B223" s="44"/>
      <c r="C223" s="44" t="s">
        <v>24</v>
      </c>
      <c r="D223" s="44"/>
      <c r="E223" s="45" t="s">
        <v>129</v>
      </c>
      <c r="F223" s="74" t="s">
        <v>500</v>
      </c>
      <c r="G223" s="63" t="s">
        <v>501</v>
      </c>
      <c r="H223" s="65">
        <v>218</v>
      </c>
      <c r="I223" s="65" t="s">
        <v>131</v>
      </c>
      <c r="J223" s="44"/>
      <c r="K223" s="62">
        <v>3.5</v>
      </c>
      <c r="L223" s="49">
        <v>0.13</v>
      </c>
      <c r="M223" s="50">
        <f t="shared" si="5"/>
        <v>763</v>
      </c>
      <c r="N223" s="46" t="s">
        <v>502</v>
      </c>
      <c r="O223" s="45">
        <v>46057</v>
      </c>
      <c r="P223" s="53" t="s">
        <v>503</v>
      </c>
      <c r="Q223" s="32" t="e">
        <f>VLOOKUP(N223,[1]Sheet1!$F$1:$H$126,3,0)</f>
        <v>#N/A</v>
      </c>
    </row>
    <row r="224" s="32" customFormat="1" spans="1:20">
      <c r="A224" s="44">
        <v>221</v>
      </c>
      <c r="B224" s="44"/>
      <c r="C224" s="44" t="s">
        <v>504</v>
      </c>
      <c r="D224" s="44"/>
      <c r="E224" s="45" t="s">
        <v>129</v>
      </c>
      <c r="F224" s="73" t="s">
        <v>505</v>
      </c>
      <c r="G224" s="65" t="s">
        <v>379</v>
      </c>
      <c r="H224" s="65">
        <v>10</v>
      </c>
      <c r="I224" s="65" t="s">
        <v>457</v>
      </c>
      <c r="J224" s="62"/>
      <c r="K224" s="62">
        <v>35</v>
      </c>
      <c r="L224" s="49">
        <v>0.01</v>
      </c>
      <c r="M224" s="50">
        <f t="shared" si="5"/>
        <v>350</v>
      </c>
      <c r="N224" s="46" t="s">
        <v>312</v>
      </c>
      <c r="O224" s="75">
        <v>46059</v>
      </c>
      <c r="P224" s="53" t="s">
        <v>506</v>
      </c>
    </row>
    <row r="225" s="32" customFormat="1" spans="1:17">
      <c r="A225" s="76">
        <v>222</v>
      </c>
      <c r="B225" s="76" t="s">
        <v>507</v>
      </c>
      <c r="C225" s="76" t="s">
        <v>508</v>
      </c>
      <c r="D225" s="77" t="s">
        <v>509</v>
      </c>
      <c r="E225" s="78" t="s">
        <v>129</v>
      </c>
      <c r="F225" s="74" t="s">
        <v>510</v>
      </c>
      <c r="G225" s="65" t="s">
        <v>511</v>
      </c>
      <c r="H225" s="65">
        <v>5</v>
      </c>
      <c r="I225" s="65" t="s">
        <v>46</v>
      </c>
      <c r="J225" s="62"/>
      <c r="K225" s="62">
        <v>240</v>
      </c>
      <c r="L225" s="79">
        <v>0.13</v>
      </c>
      <c r="M225" s="50">
        <f t="shared" ref="M225:M226" si="6">K225*H225</f>
        <v>1200</v>
      </c>
      <c r="N225" s="80" t="s">
        <v>335</v>
      </c>
      <c r="O225" s="78">
        <v>46080</v>
      </c>
      <c r="P225" s="81" t="s">
        <v>512</v>
      </c>
      <c r="Q225" s="44" t="s">
        <v>513</v>
      </c>
    </row>
    <row r="226" s="32" customFormat="1" spans="1:17">
      <c r="A226" s="82"/>
      <c r="B226" s="82"/>
      <c r="C226" s="82"/>
      <c r="D226" s="83"/>
      <c r="E226" s="51"/>
      <c r="F226" s="74" t="s">
        <v>514</v>
      </c>
      <c r="G226" s="63" t="s">
        <v>511</v>
      </c>
      <c r="H226" s="65">
        <v>5</v>
      </c>
      <c r="I226" s="65" t="s">
        <v>46</v>
      </c>
      <c r="J226" s="62"/>
      <c r="K226" s="62">
        <v>240</v>
      </c>
      <c r="L226" s="84"/>
      <c r="M226" s="50">
        <f t="shared" si="6"/>
        <v>1200</v>
      </c>
      <c r="N226" s="80" t="s">
        <v>335</v>
      </c>
      <c r="O226" s="78">
        <v>46080</v>
      </c>
      <c r="P226" s="81" t="s">
        <v>512</v>
      </c>
      <c r="Q226" s="44" t="s">
        <v>513</v>
      </c>
    </row>
    <row r="227" s="32" customFormat="1" ht="14" spans="1:17">
      <c r="A227" s="82"/>
      <c r="B227" s="44" t="s">
        <v>515</v>
      </c>
      <c r="C227" s="44" t="s">
        <v>516</v>
      </c>
      <c r="D227" s="44"/>
      <c r="E227" s="44" t="s">
        <v>129</v>
      </c>
      <c r="F227" s="85" t="s">
        <v>517</v>
      </c>
      <c r="G227" s="85"/>
      <c r="H227" s="86">
        <v>1</v>
      </c>
      <c r="I227" s="86" t="s">
        <v>518</v>
      </c>
      <c r="J227" s="44"/>
      <c r="K227" s="87">
        <v>2485</v>
      </c>
      <c r="L227" s="49">
        <v>0.01</v>
      </c>
      <c r="M227" s="87">
        <f>H227*K227</f>
        <v>2485</v>
      </c>
      <c r="N227" s="44" t="s">
        <v>519</v>
      </c>
      <c r="O227" s="88">
        <v>45839</v>
      </c>
    </row>
    <row r="228" s="32" customFormat="1" ht="14" spans="1:17">
      <c r="A228" s="76"/>
      <c r="B228" s="44"/>
      <c r="C228" s="44"/>
      <c r="D228" s="44"/>
      <c r="E228" s="44" t="s">
        <v>129</v>
      </c>
      <c r="F228" s="85" t="s">
        <v>520</v>
      </c>
      <c r="G228" s="85"/>
      <c r="H228" s="86">
        <v>2</v>
      </c>
      <c r="I228" s="86" t="s">
        <v>109</v>
      </c>
      <c r="J228" s="44"/>
      <c r="K228" s="87">
        <v>40</v>
      </c>
      <c r="L228" s="49">
        <v>0.01</v>
      </c>
      <c r="M228" s="87">
        <f t="shared" ref="M228:M291" si="7">H228*K228</f>
        <v>80</v>
      </c>
      <c r="N228" s="44" t="s">
        <v>519</v>
      </c>
      <c r="O228" s="88">
        <v>45854</v>
      </c>
    </row>
    <row r="229" s="32" customFormat="1" ht="14" spans="1:17">
      <c r="A229" s="82"/>
      <c r="B229" s="44"/>
      <c r="C229" s="44"/>
      <c r="D229" s="44"/>
      <c r="E229" s="44" t="s">
        <v>129</v>
      </c>
      <c r="F229" s="85" t="s">
        <v>517</v>
      </c>
      <c r="G229" s="85"/>
      <c r="H229" s="86">
        <v>2</v>
      </c>
      <c r="I229" s="86" t="s">
        <v>518</v>
      </c>
      <c r="J229" s="44"/>
      <c r="K229" s="87">
        <v>2950</v>
      </c>
      <c r="L229" s="49">
        <v>0.01</v>
      </c>
      <c r="M229" s="87">
        <f t="shared" si="7"/>
        <v>5900</v>
      </c>
      <c r="N229" s="44" t="s">
        <v>519</v>
      </c>
      <c r="O229" s="89">
        <v>45856</v>
      </c>
    </row>
    <row r="230" s="32" customFormat="1" ht="14" spans="1:17">
      <c r="A230" s="44"/>
      <c r="B230" s="44"/>
      <c r="C230" s="44"/>
      <c r="D230" s="44"/>
      <c r="E230" s="44" t="s">
        <v>129</v>
      </c>
      <c r="F230" s="85" t="s">
        <v>521</v>
      </c>
      <c r="G230" s="85" t="s">
        <v>522</v>
      </c>
      <c r="H230" s="86">
        <v>1</v>
      </c>
      <c r="I230" s="86" t="s">
        <v>518</v>
      </c>
      <c r="J230" s="44"/>
      <c r="K230" s="87">
        <v>4699</v>
      </c>
      <c r="L230" s="49">
        <v>0.01</v>
      </c>
      <c r="M230" s="87">
        <f t="shared" si="7"/>
        <v>4699</v>
      </c>
      <c r="N230" s="44" t="s">
        <v>519</v>
      </c>
      <c r="O230" s="90"/>
    </row>
    <row r="231" s="32" customFormat="1" ht="14" spans="1:17">
      <c r="A231" s="44"/>
      <c r="B231" s="44"/>
      <c r="C231" s="44"/>
      <c r="D231" s="44"/>
      <c r="E231" s="44" t="s">
        <v>129</v>
      </c>
      <c r="F231" s="85" t="s">
        <v>523</v>
      </c>
      <c r="G231" s="85" t="s">
        <v>524</v>
      </c>
      <c r="H231" s="86">
        <v>1</v>
      </c>
      <c r="I231" s="86" t="s">
        <v>109</v>
      </c>
      <c r="J231" s="44"/>
      <c r="K231" s="87">
        <v>230</v>
      </c>
      <c r="L231" s="49">
        <v>0.01</v>
      </c>
      <c r="M231" s="87">
        <f t="shared" si="7"/>
        <v>230</v>
      </c>
      <c r="N231" s="44" t="s">
        <v>519</v>
      </c>
      <c r="O231" s="88">
        <v>45860</v>
      </c>
    </row>
    <row r="232" s="32" customFormat="1" ht="14" spans="1:17">
      <c r="A232" s="44"/>
      <c r="B232" s="44"/>
      <c r="C232" s="44"/>
      <c r="D232" s="44"/>
      <c r="E232" s="44" t="s">
        <v>129</v>
      </c>
      <c r="F232" s="85" t="s">
        <v>525</v>
      </c>
      <c r="G232" s="85" t="s">
        <v>526</v>
      </c>
      <c r="H232" s="86">
        <v>2</v>
      </c>
      <c r="I232" s="86" t="s">
        <v>527</v>
      </c>
      <c r="J232" s="44"/>
      <c r="K232" s="87">
        <v>47</v>
      </c>
      <c r="L232" s="49">
        <v>0.01</v>
      </c>
      <c r="M232" s="87">
        <f t="shared" si="7"/>
        <v>94</v>
      </c>
      <c r="N232" s="44" t="s">
        <v>519</v>
      </c>
      <c r="O232" s="89">
        <v>45863</v>
      </c>
    </row>
    <row r="233" s="32" customFormat="1" ht="14" spans="1:17">
      <c r="A233" s="44"/>
      <c r="B233" s="44"/>
      <c r="C233" s="44"/>
      <c r="D233" s="44"/>
      <c r="E233" s="44" t="s">
        <v>129</v>
      </c>
      <c r="F233" s="85" t="s">
        <v>528</v>
      </c>
      <c r="G233" s="85" t="s">
        <v>529</v>
      </c>
      <c r="H233" s="86">
        <v>1</v>
      </c>
      <c r="I233" s="86" t="s">
        <v>316</v>
      </c>
      <c r="J233" s="44"/>
      <c r="K233" s="87">
        <v>11.5</v>
      </c>
      <c r="L233" s="49">
        <v>0.01</v>
      </c>
      <c r="M233" s="87">
        <f t="shared" si="7"/>
        <v>11.5</v>
      </c>
      <c r="N233" s="44" t="s">
        <v>519</v>
      </c>
      <c r="O233" s="90"/>
    </row>
    <row r="234" s="32" customFormat="1" ht="14" spans="1:17">
      <c r="A234" s="44"/>
      <c r="B234" s="44"/>
      <c r="C234" s="44"/>
      <c r="D234" s="44"/>
      <c r="E234" s="44" t="s">
        <v>129</v>
      </c>
      <c r="F234" s="85" t="s">
        <v>521</v>
      </c>
      <c r="G234" s="85" t="s">
        <v>530</v>
      </c>
      <c r="H234" s="86">
        <v>1</v>
      </c>
      <c r="I234" s="86" t="s">
        <v>518</v>
      </c>
      <c r="J234" s="44"/>
      <c r="K234" s="87">
        <v>5200</v>
      </c>
      <c r="L234" s="49">
        <v>0.01</v>
      </c>
      <c r="M234" s="87">
        <f t="shared" si="7"/>
        <v>5200</v>
      </c>
      <c r="N234" s="44" t="s">
        <v>519</v>
      </c>
      <c r="O234" s="88">
        <v>45867</v>
      </c>
    </row>
    <row r="235" s="32" customFormat="1" ht="14" spans="1:17">
      <c r="A235" s="44"/>
      <c r="B235" s="44"/>
      <c r="C235" s="44"/>
      <c r="D235" s="44"/>
      <c r="E235" s="44" t="s">
        <v>129</v>
      </c>
      <c r="F235" s="85" t="s">
        <v>517</v>
      </c>
      <c r="G235" s="85"/>
      <c r="H235" s="86">
        <v>1</v>
      </c>
      <c r="I235" s="86" t="s">
        <v>518</v>
      </c>
      <c r="J235" s="44"/>
      <c r="K235" s="87">
        <v>2485</v>
      </c>
      <c r="L235" s="49">
        <v>0.01</v>
      </c>
      <c r="M235" s="87">
        <f t="shared" si="7"/>
        <v>2485</v>
      </c>
      <c r="N235" s="44" t="s">
        <v>519</v>
      </c>
      <c r="O235" s="89">
        <v>45868</v>
      </c>
    </row>
    <row r="236" s="32" customFormat="1" ht="14" spans="1:17">
      <c r="A236" s="44"/>
      <c r="B236" s="44"/>
      <c r="C236" s="44"/>
      <c r="D236" s="44"/>
      <c r="E236" s="44" t="s">
        <v>129</v>
      </c>
      <c r="F236" s="85" t="s">
        <v>531</v>
      </c>
      <c r="G236" s="85" t="s">
        <v>532</v>
      </c>
      <c r="H236" s="86">
        <v>1</v>
      </c>
      <c r="I236" s="86" t="s">
        <v>533</v>
      </c>
      <c r="J236" s="44"/>
      <c r="K236" s="87">
        <v>7</v>
      </c>
      <c r="L236" s="49">
        <v>0.01</v>
      </c>
      <c r="M236" s="87">
        <f t="shared" si="7"/>
        <v>7</v>
      </c>
      <c r="N236" s="44" t="s">
        <v>519</v>
      </c>
      <c r="O236" s="91"/>
    </row>
    <row r="237" s="32" customFormat="1" ht="14" spans="1:17">
      <c r="A237" s="44"/>
      <c r="B237" s="44"/>
      <c r="C237" s="44"/>
      <c r="D237" s="44"/>
      <c r="E237" s="44" t="s">
        <v>129</v>
      </c>
      <c r="F237" s="85" t="s">
        <v>534</v>
      </c>
      <c r="G237" s="85" t="s">
        <v>535</v>
      </c>
      <c r="H237" s="86">
        <v>20</v>
      </c>
      <c r="I237" s="86" t="s">
        <v>536</v>
      </c>
      <c r="J237" s="44"/>
      <c r="K237" s="87">
        <v>7.8</v>
      </c>
      <c r="L237" s="49">
        <v>0.01</v>
      </c>
      <c r="M237" s="87">
        <f t="shared" si="7"/>
        <v>156</v>
      </c>
      <c r="N237" s="44" t="s">
        <v>519</v>
      </c>
      <c r="O237" s="91"/>
    </row>
    <row r="238" s="32" customFormat="1" ht="14" spans="1:17">
      <c r="A238" s="44"/>
      <c r="B238" s="44"/>
      <c r="C238" s="44"/>
      <c r="D238" s="44"/>
      <c r="E238" s="44" t="s">
        <v>129</v>
      </c>
      <c r="F238" s="85" t="s">
        <v>537</v>
      </c>
      <c r="G238" s="85"/>
      <c r="H238" s="86">
        <v>15</v>
      </c>
      <c r="I238" s="86" t="s">
        <v>109</v>
      </c>
      <c r="J238" s="44"/>
      <c r="K238" s="87">
        <v>45.5</v>
      </c>
      <c r="L238" s="49">
        <v>0.01</v>
      </c>
      <c r="M238" s="87">
        <f t="shared" si="7"/>
        <v>682.5</v>
      </c>
      <c r="N238" s="44" t="s">
        <v>519</v>
      </c>
      <c r="O238" s="91"/>
    </row>
    <row r="239" s="32" customFormat="1" ht="14" spans="1:17">
      <c r="A239" s="44"/>
      <c r="B239" s="44"/>
      <c r="C239" s="44"/>
      <c r="D239" s="44"/>
      <c r="E239" s="44" t="s">
        <v>129</v>
      </c>
      <c r="F239" s="85" t="s">
        <v>538</v>
      </c>
      <c r="G239" s="85"/>
      <c r="H239" s="86">
        <v>1</v>
      </c>
      <c r="I239" s="86" t="s">
        <v>109</v>
      </c>
      <c r="J239" s="44"/>
      <c r="K239" s="87">
        <v>173</v>
      </c>
      <c r="L239" s="49">
        <v>0.01</v>
      </c>
      <c r="M239" s="87">
        <f t="shared" si="7"/>
        <v>173</v>
      </c>
      <c r="N239" s="44" t="s">
        <v>519</v>
      </c>
      <c r="O239" s="91"/>
    </row>
    <row r="240" s="32" customFormat="1" ht="14" spans="1:17">
      <c r="A240" s="44"/>
      <c r="B240" s="44"/>
      <c r="C240" s="44"/>
      <c r="D240" s="44"/>
      <c r="E240" s="44" t="s">
        <v>129</v>
      </c>
      <c r="F240" s="85" t="s">
        <v>539</v>
      </c>
      <c r="G240" s="85" t="s">
        <v>540</v>
      </c>
      <c r="H240" s="86">
        <v>1</v>
      </c>
      <c r="I240" s="86" t="s">
        <v>109</v>
      </c>
      <c r="J240" s="44"/>
      <c r="K240" s="87">
        <v>628</v>
      </c>
      <c r="L240" s="49">
        <v>0.01</v>
      </c>
      <c r="M240" s="87">
        <f t="shared" si="7"/>
        <v>628</v>
      </c>
      <c r="N240" s="44" t="s">
        <v>519</v>
      </c>
      <c r="O240" s="91"/>
    </row>
    <row r="241" s="32" customFormat="1" ht="14" spans="1:15">
      <c r="A241" s="44"/>
      <c r="B241" s="44"/>
      <c r="C241" s="44"/>
      <c r="D241" s="44"/>
      <c r="E241" s="44" t="s">
        <v>129</v>
      </c>
      <c r="F241" s="85" t="s">
        <v>541</v>
      </c>
      <c r="G241" s="85"/>
      <c r="H241" s="86">
        <v>5</v>
      </c>
      <c r="I241" s="86" t="s">
        <v>109</v>
      </c>
      <c r="J241" s="44"/>
      <c r="K241" s="87">
        <v>6.5</v>
      </c>
      <c r="L241" s="49">
        <v>0.01</v>
      </c>
      <c r="M241" s="87">
        <f t="shared" si="7"/>
        <v>32.5</v>
      </c>
      <c r="N241" s="44" t="s">
        <v>519</v>
      </c>
      <c r="O241" s="91"/>
    </row>
    <row r="242" s="32" customFormat="1" ht="14" spans="1:15">
      <c r="A242" s="44"/>
      <c r="B242" s="44"/>
      <c r="C242" s="44"/>
      <c r="D242" s="44"/>
      <c r="E242" s="44" t="s">
        <v>129</v>
      </c>
      <c r="F242" s="85" t="s">
        <v>542</v>
      </c>
      <c r="G242" s="85" t="s">
        <v>543</v>
      </c>
      <c r="H242" s="86">
        <v>1</v>
      </c>
      <c r="I242" s="86" t="s">
        <v>457</v>
      </c>
      <c r="J242" s="44"/>
      <c r="K242" s="87">
        <v>35.8</v>
      </c>
      <c r="L242" s="49">
        <v>0.01</v>
      </c>
      <c r="M242" s="87">
        <f t="shared" si="7"/>
        <v>35.8</v>
      </c>
      <c r="N242" s="44" t="s">
        <v>519</v>
      </c>
      <c r="O242" s="91"/>
    </row>
    <row r="243" s="32" customFormat="1" ht="14" spans="1:15">
      <c r="A243" s="44"/>
      <c r="B243" s="44"/>
      <c r="C243" s="44"/>
      <c r="D243" s="44"/>
      <c r="E243" s="44" t="s">
        <v>129</v>
      </c>
      <c r="F243" s="85" t="s">
        <v>544</v>
      </c>
      <c r="G243" s="85" t="s">
        <v>545</v>
      </c>
      <c r="H243" s="86">
        <v>1</v>
      </c>
      <c r="I243" s="86" t="s">
        <v>457</v>
      </c>
      <c r="J243" s="44"/>
      <c r="K243" s="87">
        <v>6.1</v>
      </c>
      <c r="L243" s="49">
        <v>0.01</v>
      </c>
      <c r="M243" s="87">
        <f t="shared" si="7"/>
        <v>6.1</v>
      </c>
      <c r="N243" s="44" t="s">
        <v>519</v>
      </c>
      <c r="O243" s="91"/>
    </row>
    <row r="244" s="32" customFormat="1" ht="14" spans="1:15">
      <c r="A244" s="44"/>
      <c r="B244" s="44"/>
      <c r="C244" s="44"/>
      <c r="D244" s="44"/>
      <c r="E244" s="44" t="s">
        <v>129</v>
      </c>
      <c r="F244" s="85" t="s">
        <v>546</v>
      </c>
      <c r="G244" s="85" t="s">
        <v>547</v>
      </c>
      <c r="H244" s="86">
        <v>10</v>
      </c>
      <c r="I244" s="86" t="s">
        <v>109</v>
      </c>
      <c r="J244" s="44"/>
      <c r="K244" s="87">
        <v>81</v>
      </c>
      <c r="L244" s="49">
        <v>0.01</v>
      </c>
      <c r="M244" s="87">
        <f t="shared" si="7"/>
        <v>810</v>
      </c>
      <c r="N244" s="44" t="s">
        <v>519</v>
      </c>
      <c r="O244" s="91"/>
    </row>
    <row r="245" s="32" customFormat="1" ht="14" spans="1:15">
      <c r="A245" s="44"/>
      <c r="B245" s="44"/>
      <c r="C245" s="44"/>
      <c r="D245" s="44"/>
      <c r="E245" s="44" t="s">
        <v>129</v>
      </c>
      <c r="F245" s="85" t="s">
        <v>548</v>
      </c>
      <c r="G245" s="85" t="s">
        <v>549</v>
      </c>
      <c r="H245" s="86">
        <v>3</v>
      </c>
      <c r="I245" s="86" t="s">
        <v>109</v>
      </c>
      <c r="J245" s="44"/>
      <c r="K245" s="87">
        <v>21.5</v>
      </c>
      <c r="L245" s="49">
        <v>0.01</v>
      </c>
      <c r="M245" s="87">
        <f t="shared" si="7"/>
        <v>64.5</v>
      </c>
      <c r="N245" s="44" t="s">
        <v>519</v>
      </c>
      <c r="O245" s="91"/>
    </row>
    <row r="246" s="32" customFormat="1" ht="14" spans="1:15">
      <c r="A246" s="44"/>
      <c r="B246" s="44"/>
      <c r="C246" s="44"/>
      <c r="D246" s="44"/>
      <c r="E246" s="44" t="s">
        <v>129</v>
      </c>
      <c r="F246" s="85" t="s">
        <v>550</v>
      </c>
      <c r="G246" s="85" t="s">
        <v>551</v>
      </c>
      <c r="H246" s="86">
        <v>20</v>
      </c>
      <c r="I246" s="86" t="s">
        <v>552</v>
      </c>
      <c r="J246" s="44"/>
      <c r="K246" s="87">
        <v>7</v>
      </c>
      <c r="L246" s="49">
        <v>0.01</v>
      </c>
      <c r="M246" s="87">
        <f t="shared" si="7"/>
        <v>140</v>
      </c>
      <c r="N246" s="44" t="s">
        <v>519</v>
      </c>
      <c r="O246" s="91"/>
    </row>
    <row r="247" s="32" customFormat="1" ht="14" spans="1:15">
      <c r="A247" s="44"/>
      <c r="B247" s="44"/>
      <c r="C247" s="44"/>
      <c r="D247" s="44"/>
      <c r="E247" s="44" t="s">
        <v>129</v>
      </c>
      <c r="F247" s="85" t="s">
        <v>553</v>
      </c>
      <c r="G247" s="85" t="s">
        <v>554</v>
      </c>
      <c r="H247" s="86">
        <v>2</v>
      </c>
      <c r="I247" s="86" t="s">
        <v>316</v>
      </c>
      <c r="J247" s="44"/>
      <c r="K247" s="87">
        <v>9.4</v>
      </c>
      <c r="L247" s="49">
        <v>0.01</v>
      </c>
      <c r="M247" s="87">
        <f t="shared" si="7"/>
        <v>18.8</v>
      </c>
      <c r="N247" s="44" t="s">
        <v>519</v>
      </c>
      <c r="O247" s="91"/>
    </row>
    <row r="248" s="32" customFormat="1" ht="14" spans="1:15">
      <c r="A248" s="44"/>
      <c r="B248" s="44"/>
      <c r="C248" s="44"/>
      <c r="D248" s="44"/>
      <c r="E248" s="44" t="s">
        <v>129</v>
      </c>
      <c r="F248" s="85" t="s">
        <v>555</v>
      </c>
      <c r="G248" s="85" t="s">
        <v>556</v>
      </c>
      <c r="H248" s="86">
        <v>1</v>
      </c>
      <c r="I248" s="86" t="s">
        <v>241</v>
      </c>
      <c r="J248" s="44"/>
      <c r="K248" s="87">
        <v>14.5</v>
      </c>
      <c r="L248" s="49">
        <v>0.01</v>
      </c>
      <c r="M248" s="87">
        <f t="shared" si="7"/>
        <v>14.5</v>
      </c>
      <c r="N248" s="44" t="s">
        <v>519</v>
      </c>
      <c r="O248" s="91"/>
    </row>
    <row r="249" s="32" customFormat="1" ht="14" spans="1:15">
      <c r="A249" s="44"/>
      <c r="B249" s="44"/>
      <c r="C249" s="44"/>
      <c r="D249" s="44"/>
      <c r="E249" s="44" t="s">
        <v>129</v>
      </c>
      <c r="F249" s="85" t="s">
        <v>557</v>
      </c>
      <c r="G249" s="85" t="s">
        <v>558</v>
      </c>
      <c r="H249" s="86">
        <v>2</v>
      </c>
      <c r="I249" s="86" t="s">
        <v>109</v>
      </c>
      <c r="J249" s="44"/>
      <c r="K249" s="87">
        <v>22.6</v>
      </c>
      <c r="L249" s="49">
        <v>0.01</v>
      </c>
      <c r="M249" s="87">
        <f t="shared" si="7"/>
        <v>45.2</v>
      </c>
      <c r="N249" s="44" t="s">
        <v>519</v>
      </c>
      <c r="O249" s="90"/>
    </row>
    <row r="250" s="32" customFormat="1" ht="14" spans="1:15">
      <c r="A250" s="44"/>
      <c r="B250" s="44"/>
      <c r="C250" s="44"/>
      <c r="D250" s="44"/>
      <c r="E250" s="44" t="s">
        <v>129</v>
      </c>
      <c r="F250" s="85" t="s">
        <v>559</v>
      </c>
      <c r="G250" s="85" t="s">
        <v>560</v>
      </c>
      <c r="H250" s="86">
        <v>1</v>
      </c>
      <c r="I250" s="86" t="s">
        <v>518</v>
      </c>
      <c r="J250" s="44"/>
      <c r="K250" s="87">
        <v>280</v>
      </c>
      <c r="L250" s="49">
        <v>0.01</v>
      </c>
      <c r="M250" s="87">
        <f t="shared" si="7"/>
        <v>280</v>
      </c>
      <c r="N250" s="44" t="s">
        <v>519</v>
      </c>
      <c r="O250" s="89">
        <v>45869</v>
      </c>
    </row>
    <row r="251" s="32" customFormat="1" ht="14" spans="1:15">
      <c r="A251" s="44"/>
      <c r="B251" s="44"/>
      <c r="C251" s="44"/>
      <c r="D251" s="44"/>
      <c r="E251" s="44" t="s">
        <v>129</v>
      </c>
      <c r="F251" s="85" t="s">
        <v>561</v>
      </c>
      <c r="G251" s="85" t="s">
        <v>562</v>
      </c>
      <c r="H251" s="86">
        <v>4</v>
      </c>
      <c r="I251" s="86" t="s">
        <v>316</v>
      </c>
      <c r="J251" s="44"/>
      <c r="K251" s="87">
        <v>11</v>
      </c>
      <c r="L251" s="49">
        <v>0.01</v>
      </c>
      <c r="M251" s="87">
        <f t="shared" si="7"/>
        <v>44</v>
      </c>
      <c r="N251" s="44" t="s">
        <v>519</v>
      </c>
      <c r="O251" s="91"/>
    </row>
    <row r="252" s="32" customFormat="1" ht="14" spans="1:15">
      <c r="A252" s="44"/>
      <c r="B252" s="44"/>
      <c r="C252" s="44"/>
      <c r="D252" s="44"/>
      <c r="E252" s="44" t="s">
        <v>129</v>
      </c>
      <c r="F252" s="85" t="s">
        <v>563</v>
      </c>
      <c r="G252" s="85" t="s">
        <v>564</v>
      </c>
      <c r="H252" s="86">
        <v>2</v>
      </c>
      <c r="I252" s="86" t="s">
        <v>109</v>
      </c>
      <c r="J252" s="44"/>
      <c r="K252" s="87">
        <v>29</v>
      </c>
      <c r="L252" s="49">
        <v>0.01</v>
      </c>
      <c r="M252" s="87">
        <f t="shared" si="7"/>
        <v>58</v>
      </c>
      <c r="N252" s="44" t="s">
        <v>519</v>
      </c>
      <c r="O252" s="91"/>
    </row>
    <row r="253" s="32" customFormat="1" ht="14" spans="1:15">
      <c r="A253" s="44">
        <v>27</v>
      </c>
      <c r="B253" s="44"/>
      <c r="C253" s="44"/>
      <c r="D253" s="44"/>
      <c r="E253" s="44" t="s">
        <v>129</v>
      </c>
      <c r="F253" s="85" t="s">
        <v>565</v>
      </c>
      <c r="G253" s="85" t="s">
        <v>566</v>
      </c>
      <c r="H253" s="86">
        <v>10</v>
      </c>
      <c r="I253" s="86" t="s">
        <v>527</v>
      </c>
      <c r="J253" s="44"/>
      <c r="K253" s="87">
        <v>1</v>
      </c>
      <c r="L253" s="49">
        <v>0.01</v>
      </c>
      <c r="M253" s="87">
        <f t="shared" si="7"/>
        <v>10</v>
      </c>
      <c r="N253" s="44" t="s">
        <v>519</v>
      </c>
      <c r="O253" s="90"/>
    </row>
    <row r="254" s="32" customFormat="1" ht="15" spans="1:15">
      <c r="A254" s="44">
        <v>28</v>
      </c>
      <c r="B254" s="44"/>
      <c r="C254" s="44"/>
      <c r="D254" s="44"/>
      <c r="E254" s="44" t="s">
        <v>129</v>
      </c>
      <c r="F254" s="92" t="s">
        <v>567</v>
      </c>
      <c r="G254" s="93"/>
      <c r="H254" s="94">
        <v>1</v>
      </c>
      <c r="I254" s="44" t="s">
        <v>109</v>
      </c>
      <c r="J254" s="44"/>
      <c r="K254" s="95">
        <v>30</v>
      </c>
      <c r="L254" s="49">
        <v>0.01</v>
      </c>
      <c r="M254" s="87">
        <f t="shared" si="7"/>
        <v>30</v>
      </c>
      <c r="N254" s="44" t="s">
        <v>519</v>
      </c>
      <c r="O254" s="88">
        <v>45873</v>
      </c>
    </row>
    <row r="255" s="32" customFormat="1" ht="15" spans="1:15">
      <c r="A255" s="44">
        <v>29</v>
      </c>
      <c r="B255" s="44"/>
      <c r="C255" s="44"/>
      <c r="D255" s="44"/>
      <c r="E255" s="44" t="s">
        <v>129</v>
      </c>
      <c r="F255" s="92" t="s">
        <v>568</v>
      </c>
      <c r="G255" s="93" t="s">
        <v>569</v>
      </c>
      <c r="H255" s="94">
        <v>2</v>
      </c>
      <c r="I255" s="44" t="s">
        <v>570</v>
      </c>
      <c r="J255" s="44"/>
      <c r="K255" s="95">
        <v>99</v>
      </c>
      <c r="L255" s="49">
        <v>0.01</v>
      </c>
      <c r="M255" s="87">
        <f t="shared" si="7"/>
        <v>198</v>
      </c>
      <c r="N255" s="44" t="s">
        <v>519</v>
      </c>
      <c r="O255" s="88"/>
    </row>
    <row r="256" s="32" customFormat="1" ht="15" spans="1:15">
      <c r="A256" s="44">
        <v>30</v>
      </c>
      <c r="B256" s="44"/>
      <c r="C256" s="44"/>
      <c r="D256" s="44"/>
      <c r="E256" s="44" t="s">
        <v>129</v>
      </c>
      <c r="F256" s="92" t="s">
        <v>571</v>
      </c>
      <c r="G256" s="93" t="s">
        <v>572</v>
      </c>
      <c r="H256" s="94">
        <v>1</v>
      </c>
      <c r="I256" s="44" t="s">
        <v>518</v>
      </c>
      <c r="J256" s="44"/>
      <c r="K256" s="95">
        <v>5742.5</v>
      </c>
      <c r="L256" s="49">
        <v>0.01</v>
      </c>
      <c r="M256" s="87">
        <f t="shared" si="7"/>
        <v>5742.5</v>
      </c>
      <c r="N256" s="44" t="s">
        <v>519</v>
      </c>
      <c r="O256" s="88"/>
    </row>
    <row r="257" s="32" customFormat="1" ht="15.75" customHeight="1" spans="1:15">
      <c r="A257" s="44">
        <v>31</v>
      </c>
      <c r="B257" s="44"/>
      <c r="C257" s="44"/>
      <c r="D257" s="44"/>
      <c r="E257" s="44" t="s">
        <v>129</v>
      </c>
      <c r="F257" s="93" t="s">
        <v>573</v>
      </c>
      <c r="G257" s="93" t="s">
        <v>574</v>
      </c>
      <c r="H257" s="94">
        <v>1</v>
      </c>
      <c r="I257" s="44" t="s">
        <v>518</v>
      </c>
      <c r="J257" s="44"/>
      <c r="K257" s="95">
        <v>136.5</v>
      </c>
      <c r="L257" s="49">
        <v>0.01</v>
      </c>
      <c r="M257" s="87">
        <f t="shared" si="7"/>
        <v>136.5</v>
      </c>
      <c r="N257" s="44" t="s">
        <v>519</v>
      </c>
      <c r="O257" s="89">
        <v>45874</v>
      </c>
    </row>
    <row r="258" s="32" customFormat="1" ht="15" spans="1:15">
      <c r="A258" s="44">
        <v>32</v>
      </c>
      <c r="B258" s="44"/>
      <c r="C258" s="44"/>
      <c r="D258" s="44"/>
      <c r="E258" s="44" t="s">
        <v>129</v>
      </c>
      <c r="F258" s="93" t="s">
        <v>575</v>
      </c>
      <c r="G258" s="93" t="s">
        <v>576</v>
      </c>
      <c r="H258" s="94">
        <v>5</v>
      </c>
      <c r="I258" s="44" t="s">
        <v>252</v>
      </c>
      <c r="J258" s="44"/>
      <c r="K258" s="95">
        <v>34</v>
      </c>
      <c r="L258" s="49">
        <v>0.01</v>
      </c>
      <c r="M258" s="87">
        <f t="shared" si="7"/>
        <v>170</v>
      </c>
      <c r="N258" s="44" t="s">
        <v>519</v>
      </c>
      <c r="O258" s="91"/>
    </row>
    <row r="259" s="32" customFormat="1" ht="15" spans="1:15">
      <c r="A259" s="44">
        <v>33</v>
      </c>
      <c r="B259" s="44"/>
      <c r="C259" s="44"/>
      <c r="D259" s="44"/>
      <c r="E259" s="44" t="s">
        <v>129</v>
      </c>
      <c r="F259" s="93" t="s">
        <v>577</v>
      </c>
      <c r="G259" s="93" t="s">
        <v>578</v>
      </c>
      <c r="H259" s="94">
        <v>1</v>
      </c>
      <c r="I259" s="44" t="s">
        <v>533</v>
      </c>
      <c r="J259" s="44"/>
      <c r="K259" s="95">
        <v>20</v>
      </c>
      <c r="L259" s="49">
        <v>0.01</v>
      </c>
      <c r="M259" s="87">
        <f t="shared" si="7"/>
        <v>20</v>
      </c>
      <c r="N259" s="44" t="s">
        <v>519</v>
      </c>
      <c r="O259" s="91"/>
    </row>
    <row r="260" s="32" customFormat="1" ht="15.75" customHeight="1" spans="1:15">
      <c r="A260" s="44">
        <v>34</v>
      </c>
      <c r="B260" s="44"/>
      <c r="C260" s="44"/>
      <c r="D260" s="44"/>
      <c r="E260" s="44" t="s">
        <v>129</v>
      </c>
      <c r="F260" s="93" t="s">
        <v>579</v>
      </c>
      <c r="G260" s="93" t="s">
        <v>580</v>
      </c>
      <c r="H260" s="94">
        <v>1</v>
      </c>
      <c r="I260" s="44" t="s">
        <v>533</v>
      </c>
      <c r="J260" s="44"/>
      <c r="K260" s="95">
        <v>12.7</v>
      </c>
      <c r="L260" s="49">
        <v>0.01</v>
      </c>
      <c r="M260" s="87">
        <f t="shared" si="7"/>
        <v>12.7</v>
      </c>
      <c r="N260" s="44" t="s">
        <v>519</v>
      </c>
      <c r="O260" s="91"/>
    </row>
    <row r="261" s="32" customFormat="1" ht="15" spans="1:15">
      <c r="A261" s="44">
        <v>35</v>
      </c>
      <c r="B261" s="44"/>
      <c r="C261" s="44"/>
      <c r="D261" s="44"/>
      <c r="E261" s="44" t="s">
        <v>129</v>
      </c>
      <c r="F261" s="93" t="s">
        <v>581</v>
      </c>
      <c r="G261" s="93" t="s">
        <v>582</v>
      </c>
      <c r="H261" s="94">
        <v>100</v>
      </c>
      <c r="I261" s="44" t="s">
        <v>109</v>
      </c>
      <c r="J261" s="44"/>
      <c r="K261" s="95">
        <v>0.2</v>
      </c>
      <c r="L261" s="49">
        <v>0.01</v>
      </c>
      <c r="M261" s="87">
        <f t="shared" si="7"/>
        <v>20</v>
      </c>
      <c r="N261" s="44" t="s">
        <v>519</v>
      </c>
      <c r="O261" s="91"/>
    </row>
    <row r="262" s="32" customFormat="1" ht="15.75" customHeight="1" spans="1:15">
      <c r="A262" s="44">
        <v>36</v>
      </c>
      <c r="B262" s="44"/>
      <c r="C262" s="44"/>
      <c r="D262" s="44"/>
      <c r="E262" s="44" t="s">
        <v>129</v>
      </c>
      <c r="F262" s="93" t="s">
        <v>548</v>
      </c>
      <c r="G262" s="93" t="s">
        <v>583</v>
      </c>
      <c r="H262" s="94">
        <v>6</v>
      </c>
      <c r="I262" s="44" t="s">
        <v>109</v>
      </c>
      <c r="J262" s="44"/>
      <c r="K262" s="95">
        <v>30</v>
      </c>
      <c r="L262" s="49">
        <v>0.01</v>
      </c>
      <c r="M262" s="87">
        <f t="shared" si="7"/>
        <v>180</v>
      </c>
      <c r="N262" s="44" t="s">
        <v>519</v>
      </c>
      <c r="O262" s="91"/>
    </row>
    <row r="263" s="32" customFormat="1" ht="15" spans="1:15">
      <c r="A263" s="44">
        <v>37</v>
      </c>
      <c r="B263" s="44"/>
      <c r="C263" s="44"/>
      <c r="D263" s="44"/>
      <c r="E263" s="44" t="s">
        <v>129</v>
      </c>
      <c r="F263" s="93" t="s">
        <v>584</v>
      </c>
      <c r="G263" s="93" t="s">
        <v>585</v>
      </c>
      <c r="H263" s="94">
        <v>6</v>
      </c>
      <c r="I263" s="44" t="s">
        <v>109</v>
      </c>
      <c r="J263" s="44"/>
      <c r="K263" s="95">
        <v>23.8</v>
      </c>
      <c r="L263" s="49">
        <v>0.01</v>
      </c>
      <c r="M263" s="87">
        <f t="shared" si="7"/>
        <v>142.8</v>
      </c>
      <c r="N263" s="44" t="s">
        <v>519</v>
      </c>
      <c r="O263" s="91"/>
    </row>
    <row r="264" s="32" customFormat="1" ht="15" spans="1:15">
      <c r="A264" s="44">
        <v>38</v>
      </c>
      <c r="B264" s="44"/>
      <c r="C264" s="44"/>
      <c r="D264" s="44"/>
      <c r="E264" s="44" t="s">
        <v>129</v>
      </c>
      <c r="F264" s="93" t="s">
        <v>586</v>
      </c>
      <c r="G264" s="93" t="s">
        <v>587</v>
      </c>
      <c r="H264" s="94">
        <v>18</v>
      </c>
      <c r="I264" s="44" t="s">
        <v>109</v>
      </c>
      <c r="J264" s="44"/>
      <c r="K264" s="95">
        <v>7.8</v>
      </c>
      <c r="L264" s="49">
        <v>0.01</v>
      </c>
      <c r="M264" s="87">
        <f t="shared" si="7"/>
        <v>140.4</v>
      </c>
      <c r="N264" s="44" t="s">
        <v>519</v>
      </c>
      <c r="O264" s="91"/>
    </row>
    <row r="265" s="32" customFormat="1" ht="15" spans="1:15">
      <c r="A265" s="44">
        <v>39</v>
      </c>
      <c r="B265" s="44"/>
      <c r="C265" s="44"/>
      <c r="D265" s="44"/>
      <c r="E265" s="44" t="s">
        <v>129</v>
      </c>
      <c r="F265" s="93" t="s">
        <v>588</v>
      </c>
      <c r="G265" s="93" t="s">
        <v>589</v>
      </c>
      <c r="H265" s="94">
        <v>6</v>
      </c>
      <c r="I265" s="44" t="s">
        <v>109</v>
      </c>
      <c r="J265" s="44"/>
      <c r="K265" s="95">
        <v>3.5</v>
      </c>
      <c r="L265" s="49">
        <v>0.01</v>
      </c>
      <c r="M265" s="87">
        <f t="shared" si="7"/>
        <v>21</v>
      </c>
      <c r="N265" s="44" t="s">
        <v>519</v>
      </c>
      <c r="O265" s="90"/>
    </row>
    <row r="266" s="32" customFormat="1" ht="15.75" customHeight="1" spans="1:15">
      <c r="A266" s="44">
        <v>40</v>
      </c>
      <c r="B266" s="44"/>
      <c r="C266" s="44"/>
      <c r="D266" s="44"/>
      <c r="E266" s="44" t="s">
        <v>129</v>
      </c>
      <c r="F266" s="93" t="s">
        <v>590</v>
      </c>
      <c r="G266" s="93" t="s">
        <v>591</v>
      </c>
      <c r="H266" s="94">
        <v>10</v>
      </c>
      <c r="I266" s="44" t="s">
        <v>109</v>
      </c>
      <c r="J266" s="44"/>
      <c r="K266" s="95">
        <v>35</v>
      </c>
      <c r="L266" s="49">
        <v>0.01</v>
      </c>
      <c r="M266" s="87">
        <f t="shared" si="7"/>
        <v>350</v>
      </c>
      <c r="N266" s="44" t="s">
        <v>519</v>
      </c>
      <c r="O266" s="88">
        <v>45875</v>
      </c>
    </row>
    <row r="267" s="32" customFormat="1" ht="15.75" customHeight="1" spans="1:15">
      <c r="A267" s="44">
        <v>41</v>
      </c>
      <c r="B267" s="44"/>
      <c r="C267" s="44"/>
      <c r="D267" s="44"/>
      <c r="E267" s="44" t="s">
        <v>129</v>
      </c>
      <c r="F267" s="93" t="s">
        <v>592</v>
      </c>
      <c r="G267" s="93" t="s">
        <v>593</v>
      </c>
      <c r="H267" s="94">
        <v>3</v>
      </c>
      <c r="I267" s="44" t="s">
        <v>109</v>
      </c>
      <c r="J267" s="44"/>
      <c r="K267" s="95">
        <v>35.8</v>
      </c>
      <c r="L267" s="49">
        <v>0.01</v>
      </c>
      <c r="M267" s="87">
        <f t="shared" si="7"/>
        <v>107.4</v>
      </c>
      <c r="N267" s="44" t="s">
        <v>519</v>
      </c>
      <c r="O267" s="88"/>
    </row>
    <row r="268" s="32" customFormat="1" ht="15" spans="1:15">
      <c r="A268" s="44">
        <v>42</v>
      </c>
      <c r="B268" s="44"/>
      <c r="C268" s="44"/>
      <c r="D268" s="44"/>
      <c r="E268" s="44" t="s">
        <v>129</v>
      </c>
      <c r="F268" s="93" t="s">
        <v>594</v>
      </c>
      <c r="G268" s="93" t="s">
        <v>595</v>
      </c>
      <c r="H268" s="94">
        <v>2</v>
      </c>
      <c r="I268" s="44" t="s">
        <v>109</v>
      </c>
      <c r="J268" s="44"/>
      <c r="K268" s="95">
        <v>582</v>
      </c>
      <c r="L268" s="49">
        <v>0.01</v>
      </c>
      <c r="M268" s="87">
        <f t="shared" si="7"/>
        <v>1164</v>
      </c>
      <c r="N268" s="44" t="s">
        <v>519</v>
      </c>
      <c r="O268" s="88">
        <v>45876</v>
      </c>
    </row>
    <row r="269" s="32" customFormat="1" ht="15.75" customHeight="1" spans="1:15">
      <c r="A269" s="44">
        <v>43</v>
      </c>
      <c r="B269" s="44"/>
      <c r="C269" s="44"/>
      <c r="D269" s="44"/>
      <c r="E269" s="44" t="s">
        <v>129</v>
      </c>
      <c r="F269" s="93" t="s">
        <v>596</v>
      </c>
      <c r="G269" s="93" t="s">
        <v>597</v>
      </c>
      <c r="H269" s="94">
        <v>2</v>
      </c>
      <c r="I269" s="44" t="s">
        <v>109</v>
      </c>
      <c r="J269" s="44"/>
      <c r="K269" s="95">
        <v>32</v>
      </c>
      <c r="L269" s="49">
        <v>0.01</v>
      </c>
      <c r="M269" s="87">
        <f t="shared" si="7"/>
        <v>64</v>
      </c>
      <c r="N269" s="44" t="s">
        <v>519</v>
      </c>
      <c r="O269" s="88"/>
    </row>
    <row r="270" s="32" customFormat="1" ht="15" spans="1:15">
      <c r="A270" s="44">
        <v>44</v>
      </c>
      <c r="B270" s="44"/>
      <c r="C270" s="44"/>
      <c r="D270" s="44"/>
      <c r="E270" s="44" t="s">
        <v>129</v>
      </c>
      <c r="F270" s="93" t="s">
        <v>598</v>
      </c>
      <c r="G270" s="93" t="s">
        <v>599</v>
      </c>
      <c r="H270" s="94">
        <v>20</v>
      </c>
      <c r="I270" s="44" t="s">
        <v>109</v>
      </c>
      <c r="J270" s="44"/>
      <c r="K270" s="95">
        <v>0.6</v>
      </c>
      <c r="L270" s="49">
        <v>0.01</v>
      </c>
      <c r="M270" s="87">
        <f t="shared" si="7"/>
        <v>12</v>
      </c>
      <c r="N270" s="44" t="s">
        <v>519</v>
      </c>
      <c r="O270" s="88"/>
    </row>
    <row r="271" s="32" customFormat="1" ht="15.75" customHeight="1" spans="1:15">
      <c r="A271" s="44">
        <v>45</v>
      </c>
      <c r="B271" s="44"/>
      <c r="C271" s="44"/>
      <c r="D271" s="44"/>
      <c r="E271" s="44" t="s">
        <v>129</v>
      </c>
      <c r="F271" s="93" t="s">
        <v>600</v>
      </c>
      <c r="G271" s="93" t="s">
        <v>601</v>
      </c>
      <c r="H271" s="94">
        <v>30</v>
      </c>
      <c r="I271" s="44" t="s">
        <v>109</v>
      </c>
      <c r="J271" s="44"/>
      <c r="K271" s="95">
        <v>1.8</v>
      </c>
      <c r="L271" s="49">
        <v>0.01</v>
      </c>
      <c r="M271" s="87">
        <f t="shared" si="7"/>
        <v>54</v>
      </c>
      <c r="N271" s="44" t="s">
        <v>519</v>
      </c>
      <c r="O271" s="88"/>
    </row>
    <row r="272" s="32" customFormat="1" ht="15" spans="1:15">
      <c r="A272" s="44">
        <v>46</v>
      </c>
      <c r="B272" s="44"/>
      <c r="C272" s="44"/>
      <c r="D272" s="44"/>
      <c r="E272" s="44" t="s">
        <v>129</v>
      </c>
      <c r="F272" s="93" t="s">
        <v>602</v>
      </c>
      <c r="G272" s="93" t="s">
        <v>603</v>
      </c>
      <c r="H272" s="94">
        <v>3</v>
      </c>
      <c r="I272" s="44" t="s">
        <v>604</v>
      </c>
      <c r="J272" s="44"/>
      <c r="K272" s="95">
        <v>13.5</v>
      </c>
      <c r="L272" s="49">
        <v>0.01</v>
      </c>
      <c r="M272" s="87">
        <f t="shared" si="7"/>
        <v>40.5</v>
      </c>
      <c r="N272" s="44" t="s">
        <v>519</v>
      </c>
      <c r="O272" s="88"/>
    </row>
    <row r="273" s="32" customFormat="1" ht="15.75" customHeight="1" spans="1:15">
      <c r="A273" s="44">
        <v>47</v>
      </c>
      <c r="B273" s="44"/>
      <c r="C273" s="44"/>
      <c r="D273" s="44"/>
      <c r="E273" s="44" t="s">
        <v>129</v>
      </c>
      <c r="F273" s="96" t="s">
        <v>605</v>
      </c>
      <c r="G273" s="93" t="s">
        <v>606</v>
      </c>
      <c r="H273" s="94">
        <v>100</v>
      </c>
      <c r="I273" s="44" t="s">
        <v>607</v>
      </c>
      <c r="J273" s="44"/>
      <c r="K273" s="95">
        <v>1.6</v>
      </c>
      <c r="L273" s="49">
        <v>0.01</v>
      </c>
      <c r="M273" s="87">
        <f t="shared" si="7"/>
        <v>160</v>
      </c>
      <c r="N273" s="44" t="s">
        <v>519</v>
      </c>
      <c r="O273" s="88"/>
    </row>
    <row r="274" s="32" customFormat="1" ht="15.75" customHeight="1" spans="1:15">
      <c r="A274" s="44">
        <v>48</v>
      </c>
      <c r="B274" s="44"/>
      <c r="C274" s="44"/>
      <c r="D274" s="44"/>
      <c r="E274" s="44" t="s">
        <v>129</v>
      </c>
      <c r="F274" s="97"/>
      <c r="G274" s="93" t="s">
        <v>608</v>
      </c>
      <c r="H274" s="94">
        <v>100</v>
      </c>
      <c r="I274" s="44" t="s">
        <v>607</v>
      </c>
      <c r="J274" s="44"/>
      <c r="K274" s="95">
        <v>1.98</v>
      </c>
      <c r="L274" s="49">
        <v>0.01</v>
      </c>
      <c r="M274" s="87">
        <f t="shared" si="7"/>
        <v>198</v>
      </c>
      <c r="N274" s="44" t="s">
        <v>519</v>
      </c>
      <c r="O274" s="88"/>
    </row>
    <row r="275" s="32" customFormat="1" ht="15" spans="1:15">
      <c r="A275" s="44">
        <v>49</v>
      </c>
      <c r="B275" s="44"/>
      <c r="C275" s="44"/>
      <c r="D275" s="44"/>
      <c r="E275" s="44" t="s">
        <v>129</v>
      </c>
      <c r="F275" s="93" t="s">
        <v>517</v>
      </c>
      <c r="G275" s="93"/>
      <c r="H275" s="94">
        <v>1</v>
      </c>
      <c r="I275" s="44" t="s">
        <v>518</v>
      </c>
      <c r="J275" s="44"/>
      <c r="K275" s="95">
        <v>4225</v>
      </c>
      <c r="L275" s="49">
        <v>0.01</v>
      </c>
      <c r="M275" s="87">
        <f t="shared" si="7"/>
        <v>4225</v>
      </c>
      <c r="N275" s="44" t="s">
        <v>519</v>
      </c>
      <c r="O275" s="89">
        <v>45880</v>
      </c>
    </row>
    <row r="276" s="32" customFormat="1" ht="15.75" customHeight="1" spans="1:15">
      <c r="A276" s="44">
        <v>50</v>
      </c>
      <c r="B276" s="44"/>
      <c r="C276" s="44"/>
      <c r="D276" s="44"/>
      <c r="E276" s="44" t="s">
        <v>129</v>
      </c>
      <c r="F276" s="93" t="s">
        <v>609</v>
      </c>
      <c r="G276" s="93" t="s">
        <v>610</v>
      </c>
      <c r="H276" s="94">
        <v>2</v>
      </c>
      <c r="I276" s="44" t="s">
        <v>533</v>
      </c>
      <c r="J276" s="44"/>
      <c r="K276" s="95">
        <v>99</v>
      </c>
      <c r="L276" s="49">
        <v>0.01</v>
      </c>
      <c r="M276" s="87">
        <f t="shared" si="7"/>
        <v>198</v>
      </c>
      <c r="N276" s="44" t="s">
        <v>519</v>
      </c>
      <c r="O276" s="91"/>
    </row>
    <row r="277" s="32" customFormat="1" ht="15" spans="1:15">
      <c r="A277" s="44">
        <v>51</v>
      </c>
      <c r="B277" s="44"/>
      <c r="C277" s="44"/>
      <c r="D277" s="44"/>
      <c r="E277" s="44" t="s">
        <v>129</v>
      </c>
      <c r="F277" s="93" t="s">
        <v>611</v>
      </c>
      <c r="G277" s="93" t="s">
        <v>612</v>
      </c>
      <c r="H277" s="94">
        <v>5</v>
      </c>
      <c r="I277" s="44" t="s">
        <v>109</v>
      </c>
      <c r="J277" s="44"/>
      <c r="K277" s="95">
        <v>75</v>
      </c>
      <c r="L277" s="49">
        <v>0.01</v>
      </c>
      <c r="M277" s="87">
        <f t="shared" si="7"/>
        <v>375</v>
      </c>
      <c r="N277" s="44" t="s">
        <v>519</v>
      </c>
      <c r="O277" s="91"/>
    </row>
    <row r="278" s="32" customFormat="1" ht="15" spans="1:15">
      <c r="A278" s="44">
        <v>52</v>
      </c>
      <c r="B278" s="44"/>
      <c r="C278" s="44"/>
      <c r="D278" s="44"/>
      <c r="E278" s="44" t="s">
        <v>129</v>
      </c>
      <c r="F278" s="93" t="s">
        <v>613</v>
      </c>
      <c r="G278" s="93" t="s">
        <v>614</v>
      </c>
      <c r="H278" s="94">
        <v>1</v>
      </c>
      <c r="I278" s="44" t="s">
        <v>109</v>
      </c>
      <c r="J278" s="44"/>
      <c r="K278" s="95">
        <v>285</v>
      </c>
      <c r="L278" s="49">
        <v>0.01</v>
      </c>
      <c r="M278" s="87">
        <f t="shared" si="7"/>
        <v>285</v>
      </c>
      <c r="N278" s="44" t="s">
        <v>519</v>
      </c>
      <c r="O278" s="91"/>
    </row>
    <row r="279" s="32" customFormat="1" ht="15" spans="1:15">
      <c r="A279" s="44">
        <v>53</v>
      </c>
      <c r="B279" s="44"/>
      <c r="C279" s="44"/>
      <c r="D279" s="44"/>
      <c r="E279" s="44" t="s">
        <v>129</v>
      </c>
      <c r="F279" s="93" t="s">
        <v>615</v>
      </c>
      <c r="G279" s="93" t="s">
        <v>616</v>
      </c>
      <c r="H279" s="94">
        <v>1</v>
      </c>
      <c r="I279" s="44" t="s">
        <v>533</v>
      </c>
      <c r="J279" s="44"/>
      <c r="K279" s="95">
        <v>34</v>
      </c>
      <c r="L279" s="49">
        <v>0.01</v>
      </c>
      <c r="M279" s="87">
        <f t="shared" si="7"/>
        <v>34</v>
      </c>
      <c r="N279" s="44" t="s">
        <v>519</v>
      </c>
      <c r="O279" s="91"/>
    </row>
    <row r="280" s="32" customFormat="1" ht="15.75" customHeight="1" spans="1:15">
      <c r="A280" s="44">
        <v>54</v>
      </c>
      <c r="B280" s="44"/>
      <c r="C280" s="44"/>
      <c r="D280" s="44"/>
      <c r="E280" s="44" t="s">
        <v>129</v>
      </c>
      <c r="F280" s="93" t="s">
        <v>617</v>
      </c>
      <c r="G280" s="93" t="s">
        <v>618</v>
      </c>
      <c r="H280" s="94">
        <v>1</v>
      </c>
      <c r="I280" s="44" t="s">
        <v>109</v>
      </c>
      <c r="J280" s="44"/>
      <c r="K280" s="95">
        <v>20</v>
      </c>
      <c r="L280" s="49">
        <v>0.01</v>
      </c>
      <c r="M280" s="87">
        <f t="shared" si="7"/>
        <v>20</v>
      </c>
      <c r="N280" s="44" t="s">
        <v>519</v>
      </c>
      <c r="O280" s="91"/>
    </row>
    <row r="281" s="32" customFormat="1" ht="15.75" customHeight="1" spans="1:15">
      <c r="A281" s="44">
        <v>55</v>
      </c>
      <c r="B281" s="44"/>
      <c r="C281" s="44"/>
      <c r="D281" s="44"/>
      <c r="E281" s="44" t="s">
        <v>129</v>
      </c>
      <c r="F281" s="93" t="s">
        <v>617</v>
      </c>
      <c r="G281" s="93" t="s">
        <v>619</v>
      </c>
      <c r="H281" s="94">
        <v>1</v>
      </c>
      <c r="I281" s="44" t="s">
        <v>109</v>
      </c>
      <c r="J281" s="44"/>
      <c r="K281" s="95">
        <v>25</v>
      </c>
      <c r="L281" s="49">
        <v>0.01</v>
      </c>
      <c r="M281" s="87">
        <f t="shared" si="7"/>
        <v>25</v>
      </c>
      <c r="N281" s="44" t="s">
        <v>519</v>
      </c>
      <c r="O281" s="91"/>
    </row>
    <row r="282" s="32" customFormat="1" ht="15" spans="1:15">
      <c r="A282" s="44">
        <v>56</v>
      </c>
      <c r="B282" s="44"/>
      <c r="C282" s="44"/>
      <c r="D282" s="44"/>
      <c r="E282" s="44" t="s">
        <v>129</v>
      </c>
      <c r="F282" s="93" t="s">
        <v>620</v>
      </c>
      <c r="G282" s="93"/>
      <c r="H282" s="94">
        <v>1</v>
      </c>
      <c r="I282" s="44" t="s">
        <v>109</v>
      </c>
      <c r="J282" s="44"/>
      <c r="K282" s="95">
        <v>260</v>
      </c>
      <c r="L282" s="49">
        <v>0.01</v>
      </c>
      <c r="M282" s="87">
        <f t="shared" si="7"/>
        <v>260</v>
      </c>
      <c r="N282" s="44" t="s">
        <v>519</v>
      </c>
      <c r="O282" s="91"/>
    </row>
    <row r="283" s="32" customFormat="1" ht="15" spans="1:15">
      <c r="A283" s="44">
        <v>57</v>
      </c>
      <c r="B283" s="44"/>
      <c r="C283" s="44"/>
      <c r="D283" s="44"/>
      <c r="E283" s="44" t="s">
        <v>129</v>
      </c>
      <c r="F283" s="93" t="s">
        <v>621</v>
      </c>
      <c r="G283" s="93" t="s">
        <v>622</v>
      </c>
      <c r="H283" s="94">
        <v>1</v>
      </c>
      <c r="I283" s="44" t="s">
        <v>109</v>
      </c>
      <c r="J283" s="44"/>
      <c r="K283" s="95">
        <v>55</v>
      </c>
      <c r="L283" s="49">
        <v>0.01</v>
      </c>
      <c r="M283" s="87">
        <f t="shared" si="7"/>
        <v>55</v>
      </c>
      <c r="N283" s="44" t="s">
        <v>519</v>
      </c>
      <c r="O283" s="90"/>
    </row>
    <row r="284" s="32" customFormat="1" ht="15" spans="1:15">
      <c r="A284" s="44">
        <v>58</v>
      </c>
      <c r="B284" s="44"/>
      <c r="C284" s="44"/>
      <c r="D284" s="44"/>
      <c r="E284" s="44" t="s">
        <v>129</v>
      </c>
      <c r="F284" s="93" t="s">
        <v>623</v>
      </c>
      <c r="G284" s="93" t="s">
        <v>624</v>
      </c>
      <c r="H284" s="94">
        <v>1</v>
      </c>
      <c r="I284" s="44" t="s">
        <v>533</v>
      </c>
      <c r="J284" s="44"/>
      <c r="K284" s="95">
        <v>5</v>
      </c>
      <c r="L284" s="49">
        <v>0.01</v>
      </c>
      <c r="M284" s="87">
        <f t="shared" si="7"/>
        <v>5</v>
      </c>
      <c r="N284" s="44" t="s">
        <v>519</v>
      </c>
      <c r="O284" s="88">
        <v>45881</v>
      </c>
    </row>
    <row r="285" s="32" customFormat="1" ht="15" spans="1:15">
      <c r="A285" s="44">
        <v>59</v>
      </c>
      <c r="B285" s="44"/>
      <c r="C285" s="44"/>
      <c r="D285" s="44"/>
      <c r="E285" s="44" t="s">
        <v>129</v>
      </c>
      <c r="F285" s="93" t="s">
        <v>623</v>
      </c>
      <c r="G285" s="93" t="s">
        <v>625</v>
      </c>
      <c r="H285" s="94">
        <v>1</v>
      </c>
      <c r="I285" s="44" t="s">
        <v>533</v>
      </c>
      <c r="J285" s="44"/>
      <c r="K285" s="95">
        <v>8</v>
      </c>
      <c r="L285" s="49">
        <v>0.01</v>
      </c>
      <c r="M285" s="87">
        <f t="shared" si="7"/>
        <v>8</v>
      </c>
      <c r="N285" s="44" t="s">
        <v>519</v>
      </c>
      <c r="O285" s="88"/>
    </row>
    <row r="286" s="32" customFormat="1" ht="15" spans="1:15">
      <c r="A286" s="44">
        <v>60</v>
      </c>
      <c r="B286" s="44"/>
      <c r="C286" s="44"/>
      <c r="D286" s="44"/>
      <c r="E286" s="44" t="s">
        <v>129</v>
      </c>
      <c r="F286" s="93" t="s">
        <v>626</v>
      </c>
      <c r="G286" s="93" t="s">
        <v>627</v>
      </c>
      <c r="H286" s="94">
        <v>1</v>
      </c>
      <c r="I286" s="44" t="s">
        <v>109</v>
      </c>
      <c r="J286" s="44"/>
      <c r="K286" s="95">
        <v>14</v>
      </c>
      <c r="L286" s="49">
        <v>0.01</v>
      </c>
      <c r="M286" s="87">
        <f t="shared" si="7"/>
        <v>14</v>
      </c>
      <c r="N286" s="44" t="s">
        <v>519</v>
      </c>
      <c r="O286" s="88"/>
    </row>
    <row r="287" s="32" customFormat="1" ht="15" spans="1:15">
      <c r="A287" s="44">
        <v>61</v>
      </c>
      <c r="B287" s="44"/>
      <c r="C287" s="44"/>
      <c r="D287" s="44"/>
      <c r="E287" s="44" t="s">
        <v>129</v>
      </c>
      <c r="F287" s="93" t="s">
        <v>628</v>
      </c>
      <c r="G287" s="93" t="s">
        <v>629</v>
      </c>
      <c r="H287" s="94">
        <v>1</v>
      </c>
      <c r="I287" s="44" t="s">
        <v>109</v>
      </c>
      <c r="J287" s="44"/>
      <c r="K287" s="95">
        <v>235</v>
      </c>
      <c r="L287" s="49">
        <v>0.01</v>
      </c>
      <c r="M287" s="87">
        <f t="shared" si="7"/>
        <v>235</v>
      </c>
      <c r="N287" s="44" t="s">
        <v>519</v>
      </c>
      <c r="O287" s="88">
        <v>45883</v>
      </c>
    </row>
    <row r="288" s="32" customFormat="1" ht="15" spans="1:15">
      <c r="A288" s="44">
        <v>62</v>
      </c>
      <c r="B288" s="44"/>
      <c r="C288" s="44"/>
      <c r="D288" s="44"/>
      <c r="E288" s="44" t="s">
        <v>129</v>
      </c>
      <c r="F288" s="93" t="s">
        <v>630</v>
      </c>
      <c r="G288" s="93" t="s">
        <v>631</v>
      </c>
      <c r="H288" s="94">
        <v>1</v>
      </c>
      <c r="I288" s="44" t="s">
        <v>109</v>
      </c>
      <c r="J288" s="44"/>
      <c r="K288" s="95">
        <v>50</v>
      </c>
      <c r="L288" s="49">
        <v>0.01</v>
      </c>
      <c r="M288" s="87">
        <f t="shared" si="7"/>
        <v>50</v>
      </c>
      <c r="N288" s="44" t="s">
        <v>519</v>
      </c>
      <c r="O288" s="88"/>
    </row>
    <row r="289" s="32" customFormat="1" ht="15.75" customHeight="1" spans="1:15">
      <c r="A289" s="44">
        <v>63</v>
      </c>
      <c r="B289" s="44"/>
      <c r="C289" s="44"/>
      <c r="D289" s="44"/>
      <c r="E289" s="44" t="s">
        <v>129</v>
      </c>
      <c r="F289" s="93" t="s">
        <v>632</v>
      </c>
      <c r="G289" s="93" t="s">
        <v>633</v>
      </c>
      <c r="H289" s="94">
        <v>1</v>
      </c>
      <c r="I289" s="44" t="s">
        <v>109</v>
      </c>
      <c r="J289" s="44"/>
      <c r="K289" s="95">
        <v>20</v>
      </c>
      <c r="L289" s="49">
        <v>0.01</v>
      </c>
      <c r="M289" s="87">
        <f t="shared" si="7"/>
        <v>20</v>
      </c>
      <c r="N289" s="44" t="s">
        <v>519</v>
      </c>
      <c r="O289" s="88"/>
    </row>
    <row r="290" s="32" customFormat="1" ht="15.75" customHeight="1" spans="1:15">
      <c r="A290" s="44">
        <v>64</v>
      </c>
      <c r="B290" s="44"/>
      <c r="C290" s="44"/>
      <c r="D290" s="44"/>
      <c r="E290" s="44" t="s">
        <v>129</v>
      </c>
      <c r="F290" s="93" t="s">
        <v>634</v>
      </c>
      <c r="G290" s="93" t="s">
        <v>635</v>
      </c>
      <c r="H290" s="94">
        <v>3</v>
      </c>
      <c r="I290" s="44" t="s">
        <v>109</v>
      </c>
      <c r="J290" s="44"/>
      <c r="K290" s="95">
        <v>15.5</v>
      </c>
      <c r="L290" s="49">
        <v>0.01</v>
      </c>
      <c r="M290" s="87">
        <f t="shared" si="7"/>
        <v>46.5</v>
      </c>
      <c r="N290" s="44" t="s">
        <v>519</v>
      </c>
      <c r="O290" s="88"/>
    </row>
    <row r="291" s="32" customFormat="1" ht="15.75" customHeight="1" spans="1:15">
      <c r="A291" s="44">
        <v>65</v>
      </c>
      <c r="B291" s="44"/>
      <c r="C291" s="44"/>
      <c r="D291" s="44"/>
      <c r="E291" s="44" t="s">
        <v>129</v>
      </c>
      <c r="F291" s="93" t="s">
        <v>636</v>
      </c>
      <c r="G291" s="93" t="s">
        <v>637</v>
      </c>
      <c r="H291" s="94">
        <v>2</v>
      </c>
      <c r="I291" s="44" t="s">
        <v>109</v>
      </c>
      <c r="J291" s="44"/>
      <c r="K291" s="95">
        <v>28</v>
      </c>
      <c r="L291" s="49">
        <v>0.01</v>
      </c>
      <c r="M291" s="87">
        <f t="shared" si="7"/>
        <v>56</v>
      </c>
      <c r="N291" s="44" t="s">
        <v>519</v>
      </c>
      <c r="O291" s="88"/>
    </row>
    <row r="292" s="32" customFormat="1" ht="15" spans="1:15">
      <c r="A292" s="44">
        <v>66</v>
      </c>
      <c r="B292" s="44"/>
      <c r="C292" s="44"/>
      <c r="D292" s="44"/>
      <c r="E292" s="44" t="s">
        <v>129</v>
      </c>
      <c r="F292" s="93" t="s">
        <v>638</v>
      </c>
      <c r="G292" s="93" t="s">
        <v>639</v>
      </c>
      <c r="H292" s="94">
        <v>10</v>
      </c>
      <c r="I292" s="44" t="s">
        <v>109</v>
      </c>
      <c r="K292" s="95">
        <v>2</v>
      </c>
      <c r="L292" s="49">
        <v>0.01</v>
      </c>
      <c r="M292" s="87">
        <f t="shared" ref="M292:M355" si="8">H292*K292</f>
        <v>20</v>
      </c>
      <c r="N292" s="44" t="s">
        <v>519</v>
      </c>
      <c r="O292" s="88"/>
    </row>
    <row r="293" s="32" customFormat="1" ht="15" spans="1:15">
      <c r="A293" s="44">
        <v>67</v>
      </c>
      <c r="B293" s="44"/>
      <c r="C293" s="44"/>
      <c r="D293" s="44"/>
      <c r="E293" s="44" t="s">
        <v>129</v>
      </c>
      <c r="F293" s="93" t="s">
        <v>638</v>
      </c>
      <c r="G293" s="93" t="s">
        <v>640</v>
      </c>
      <c r="H293" s="94">
        <v>5</v>
      </c>
      <c r="I293" s="44" t="s">
        <v>109</v>
      </c>
      <c r="K293" s="95">
        <v>2</v>
      </c>
      <c r="L293" s="49">
        <v>0.01</v>
      </c>
      <c r="M293" s="87">
        <f t="shared" si="8"/>
        <v>10</v>
      </c>
      <c r="N293" s="44" t="s">
        <v>519</v>
      </c>
      <c r="O293" s="88"/>
    </row>
    <row r="294" s="32" customFormat="1" ht="15.75" customHeight="1" spans="1:15">
      <c r="A294" s="44">
        <v>68</v>
      </c>
      <c r="B294" s="44"/>
      <c r="C294" s="44"/>
      <c r="D294" s="44"/>
      <c r="E294" s="44" t="s">
        <v>129</v>
      </c>
      <c r="F294" s="93" t="s">
        <v>641</v>
      </c>
      <c r="G294" s="93" t="s">
        <v>642</v>
      </c>
      <c r="H294" s="94">
        <v>1</v>
      </c>
      <c r="I294" s="44" t="s">
        <v>109</v>
      </c>
      <c r="K294" s="95">
        <v>15</v>
      </c>
      <c r="L294" s="49">
        <v>0.01</v>
      </c>
      <c r="M294" s="87">
        <f t="shared" si="8"/>
        <v>15</v>
      </c>
      <c r="N294" s="44" t="s">
        <v>519</v>
      </c>
      <c r="O294" s="88"/>
    </row>
    <row r="295" s="32" customFormat="1" ht="15" spans="1:15">
      <c r="A295" s="44">
        <v>69</v>
      </c>
      <c r="B295" s="44"/>
      <c r="C295" s="44"/>
      <c r="D295" s="44"/>
      <c r="E295" s="44" t="s">
        <v>129</v>
      </c>
      <c r="F295" s="93" t="s">
        <v>643</v>
      </c>
      <c r="G295" s="93" t="s">
        <v>644</v>
      </c>
      <c r="H295" s="94">
        <v>1</v>
      </c>
      <c r="I295" s="44" t="s">
        <v>109</v>
      </c>
      <c r="K295" s="95">
        <v>5</v>
      </c>
      <c r="L295" s="49">
        <v>0.01</v>
      </c>
      <c r="M295" s="87">
        <f t="shared" si="8"/>
        <v>5</v>
      </c>
      <c r="N295" s="44" t="s">
        <v>519</v>
      </c>
      <c r="O295" s="88"/>
    </row>
    <row r="296" s="32" customFormat="1" ht="15.75" customHeight="1" spans="1:15">
      <c r="A296" s="44">
        <v>70</v>
      </c>
      <c r="B296" s="44"/>
      <c r="C296" s="44"/>
      <c r="D296" s="44"/>
      <c r="E296" s="44" t="s">
        <v>129</v>
      </c>
      <c r="F296" s="93" t="s">
        <v>645</v>
      </c>
      <c r="G296" s="93" t="s">
        <v>646</v>
      </c>
      <c r="H296" s="94">
        <v>1</v>
      </c>
      <c r="I296" s="98" t="s">
        <v>316</v>
      </c>
      <c r="K296" s="95">
        <v>45</v>
      </c>
      <c r="L296" s="49">
        <v>0.01</v>
      </c>
      <c r="M296" s="87">
        <f t="shared" si="8"/>
        <v>45</v>
      </c>
      <c r="N296" s="44" t="s">
        <v>519</v>
      </c>
      <c r="O296" s="88"/>
    </row>
    <row r="297" s="32" customFormat="1" ht="15" spans="1:15">
      <c r="A297" s="44">
        <v>71</v>
      </c>
      <c r="B297" s="44"/>
      <c r="C297" s="44"/>
      <c r="D297" s="44"/>
      <c r="E297" s="44" t="s">
        <v>129</v>
      </c>
      <c r="F297" s="93" t="s">
        <v>555</v>
      </c>
      <c r="G297" s="93" t="s">
        <v>647</v>
      </c>
      <c r="H297" s="94">
        <v>1</v>
      </c>
      <c r="I297" s="98" t="s">
        <v>241</v>
      </c>
      <c r="K297" s="95">
        <v>19.5</v>
      </c>
      <c r="L297" s="49">
        <v>0.01</v>
      </c>
      <c r="M297" s="87">
        <f t="shared" si="8"/>
        <v>19.5</v>
      </c>
      <c r="N297" s="44" t="s">
        <v>519</v>
      </c>
      <c r="O297" s="88"/>
    </row>
    <row r="298" s="32" customFormat="1" ht="15" spans="1:15">
      <c r="A298" s="44">
        <v>72</v>
      </c>
      <c r="B298" s="44"/>
      <c r="C298" s="44"/>
      <c r="D298" s="44"/>
      <c r="E298" s="44" t="s">
        <v>129</v>
      </c>
      <c r="F298" s="93" t="s">
        <v>648</v>
      </c>
      <c r="G298" s="93" t="s">
        <v>649</v>
      </c>
      <c r="H298" s="94">
        <v>2</v>
      </c>
      <c r="I298" s="98" t="s">
        <v>109</v>
      </c>
      <c r="K298" s="95">
        <v>48</v>
      </c>
      <c r="L298" s="49">
        <v>0.01</v>
      </c>
      <c r="M298" s="87">
        <f t="shared" si="8"/>
        <v>96</v>
      </c>
      <c r="N298" s="44" t="s">
        <v>519</v>
      </c>
      <c r="O298" s="88"/>
    </row>
    <row r="299" s="32" customFormat="1" ht="15" spans="1:15">
      <c r="A299" s="44">
        <v>73</v>
      </c>
      <c r="B299" s="44"/>
      <c r="C299" s="44"/>
      <c r="D299" s="44"/>
      <c r="E299" s="44" t="s">
        <v>129</v>
      </c>
      <c r="F299" s="93" t="s">
        <v>648</v>
      </c>
      <c r="G299" s="93" t="s">
        <v>650</v>
      </c>
      <c r="H299" s="94">
        <v>5</v>
      </c>
      <c r="I299" s="98" t="s">
        <v>109</v>
      </c>
      <c r="K299" s="95">
        <v>53</v>
      </c>
      <c r="L299" s="49">
        <v>0.01</v>
      </c>
      <c r="M299" s="87">
        <f t="shared" si="8"/>
        <v>265</v>
      </c>
      <c r="N299" s="44" t="s">
        <v>519</v>
      </c>
      <c r="O299" s="88"/>
    </row>
    <row r="300" s="32" customFormat="1" ht="15" spans="1:15">
      <c r="A300" s="44">
        <v>74</v>
      </c>
      <c r="B300" s="44"/>
      <c r="C300" s="44"/>
      <c r="D300" s="44"/>
      <c r="E300" s="44" t="s">
        <v>129</v>
      </c>
      <c r="F300" s="93" t="s">
        <v>651</v>
      </c>
      <c r="G300" s="93" t="s">
        <v>652</v>
      </c>
      <c r="H300" s="94">
        <v>1</v>
      </c>
      <c r="I300" s="98" t="s">
        <v>109</v>
      </c>
      <c r="K300" s="95">
        <v>449</v>
      </c>
      <c r="L300" s="49">
        <v>0.01</v>
      </c>
      <c r="M300" s="87">
        <f t="shared" si="8"/>
        <v>449</v>
      </c>
      <c r="N300" s="44" t="s">
        <v>519</v>
      </c>
      <c r="O300" s="88"/>
    </row>
    <row r="301" s="32" customFormat="1" ht="15" spans="1:15">
      <c r="A301" s="44">
        <v>75</v>
      </c>
      <c r="B301" s="44"/>
      <c r="C301" s="44"/>
      <c r="D301" s="44"/>
      <c r="E301" s="44" t="s">
        <v>129</v>
      </c>
      <c r="F301" s="93" t="s">
        <v>653</v>
      </c>
      <c r="G301" s="93" t="s">
        <v>654</v>
      </c>
      <c r="H301" s="94">
        <v>1</v>
      </c>
      <c r="I301" s="98" t="s">
        <v>109</v>
      </c>
      <c r="K301" s="95">
        <v>138</v>
      </c>
      <c r="L301" s="49">
        <v>0.01</v>
      </c>
      <c r="M301" s="87">
        <f t="shared" si="8"/>
        <v>138</v>
      </c>
      <c r="N301" s="44" t="s">
        <v>519</v>
      </c>
      <c r="O301" s="88"/>
    </row>
    <row r="302" s="32" customFormat="1" ht="15.75" customHeight="1" spans="1:15">
      <c r="A302" s="44">
        <v>76</v>
      </c>
      <c r="B302" s="44"/>
      <c r="C302" s="44"/>
      <c r="D302" s="44"/>
      <c r="E302" s="44" t="s">
        <v>129</v>
      </c>
      <c r="F302" s="93" t="s">
        <v>655</v>
      </c>
      <c r="G302" s="93" t="s">
        <v>656</v>
      </c>
      <c r="H302" s="94">
        <v>5</v>
      </c>
      <c r="I302" s="98" t="s">
        <v>570</v>
      </c>
      <c r="K302" s="95">
        <v>41</v>
      </c>
      <c r="L302" s="49">
        <v>0.01</v>
      </c>
      <c r="M302" s="87">
        <f t="shared" si="8"/>
        <v>205</v>
      </c>
      <c r="N302" s="44" t="s">
        <v>519</v>
      </c>
      <c r="O302" s="88"/>
    </row>
    <row r="303" s="32" customFormat="1" ht="15.75" customHeight="1" spans="1:15">
      <c r="A303" s="44">
        <v>77</v>
      </c>
      <c r="B303" s="44"/>
      <c r="C303" s="44"/>
      <c r="D303" s="44"/>
      <c r="E303" s="44" t="s">
        <v>129</v>
      </c>
      <c r="F303" s="93" t="s">
        <v>657</v>
      </c>
      <c r="G303" s="93" t="s">
        <v>658</v>
      </c>
      <c r="H303" s="94">
        <v>3</v>
      </c>
      <c r="I303" s="98" t="s">
        <v>570</v>
      </c>
      <c r="K303" s="95">
        <v>44</v>
      </c>
      <c r="L303" s="49">
        <v>0.01</v>
      </c>
      <c r="M303" s="87">
        <f t="shared" si="8"/>
        <v>132</v>
      </c>
      <c r="N303" s="44" t="s">
        <v>519</v>
      </c>
      <c r="O303" s="88"/>
    </row>
    <row r="304" s="32" customFormat="1" ht="15" spans="1:15">
      <c r="A304" s="44">
        <v>78</v>
      </c>
      <c r="B304" s="44"/>
      <c r="C304" s="44"/>
      <c r="D304" s="44"/>
      <c r="E304" s="44" t="s">
        <v>129</v>
      </c>
      <c r="F304" s="93" t="s">
        <v>659</v>
      </c>
      <c r="G304" s="93"/>
      <c r="H304" s="94">
        <v>5</v>
      </c>
      <c r="I304" s="98" t="s">
        <v>109</v>
      </c>
      <c r="K304" s="95">
        <v>0</v>
      </c>
      <c r="L304" s="49">
        <v>0.01</v>
      </c>
      <c r="M304" s="87">
        <f t="shared" si="8"/>
        <v>0</v>
      </c>
      <c r="N304" s="44" t="s">
        <v>519</v>
      </c>
      <c r="O304" s="88"/>
    </row>
    <row r="305" s="32" customFormat="1" ht="15.75" customHeight="1" spans="1:15">
      <c r="A305" s="44">
        <v>79</v>
      </c>
      <c r="B305" s="44"/>
      <c r="C305" s="44"/>
      <c r="D305" s="44"/>
      <c r="E305" s="44" t="s">
        <v>129</v>
      </c>
      <c r="F305" s="93" t="s">
        <v>660</v>
      </c>
      <c r="G305" s="93" t="s">
        <v>661</v>
      </c>
      <c r="H305" s="94">
        <v>1</v>
      </c>
      <c r="I305" s="98" t="s">
        <v>533</v>
      </c>
      <c r="K305" s="95">
        <v>276.9</v>
      </c>
      <c r="L305" s="49">
        <v>0.01</v>
      </c>
      <c r="M305" s="87">
        <f t="shared" si="8"/>
        <v>276.9</v>
      </c>
      <c r="N305" s="44" t="s">
        <v>519</v>
      </c>
      <c r="O305" s="88">
        <v>45885</v>
      </c>
    </row>
    <row r="306" s="32" customFormat="1" ht="15" spans="1:15">
      <c r="A306" s="44">
        <v>80</v>
      </c>
      <c r="B306" s="44"/>
      <c r="C306" s="44"/>
      <c r="D306" s="44"/>
      <c r="E306" s="44" t="s">
        <v>129</v>
      </c>
      <c r="F306" s="93" t="s">
        <v>662</v>
      </c>
      <c r="G306" s="93" t="s">
        <v>663</v>
      </c>
      <c r="H306" s="94">
        <v>20</v>
      </c>
      <c r="I306" s="98" t="s">
        <v>570</v>
      </c>
      <c r="K306" s="95">
        <v>13.6</v>
      </c>
      <c r="L306" s="49">
        <v>0.01</v>
      </c>
      <c r="M306" s="87">
        <f t="shared" si="8"/>
        <v>272</v>
      </c>
      <c r="N306" s="44" t="s">
        <v>519</v>
      </c>
      <c r="O306" s="88">
        <v>45886</v>
      </c>
    </row>
    <row r="307" s="32" customFormat="1" ht="15.75" customHeight="1" spans="1:15">
      <c r="A307" s="44">
        <v>81</v>
      </c>
      <c r="B307" s="44"/>
      <c r="C307" s="44"/>
      <c r="D307" s="44"/>
      <c r="E307" s="44" t="s">
        <v>129</v>
      </c>
      <c r="F307" s="93" t="s">
        <v>664</v>
      </c>
      <c r="G307" s="93" t="s">
        <v>665</v>
      </c>
      <c r="H307" s="94">
        <v>1</v>
      </c>
      <c r="I307" s="98" t="s">
        <v>570</v>
      </c>
      <c r="K307" s="95">
        <v>72</v>
      </c>
      <c r="L307" s="49">
        <v>0.01</v>
      </c>
      <c r="M307" s="87">
        <f t="shared" si="8"/>
        <v>72</v>
      </c>
      <c r="N307" s="44" t="s">
        <v>519</v>
      </c>
      <c r="O307" s="88"/>
    </row>
    <row r="308" s="32" customFormat="1" ht="15.75" customHeight="1" spans="1:15">
      <c r="A308" s="44">
        <v>82</v>
      </c>
      <c r="B308" s="44"/>
      <c r="C308" s="44"/>
      <c r="D308" s="44"/>
      <c r="E308" s="44" t="s">
        <v>129</v>
      </c>
      <c r="F308" s="93" t="s">
        <v>664</v>
      </c>
      <c r="G308" s="93" t="s">
        <v>666</v>
      </c>
      <c r="H308" s="94">
        <v>1</v>
      </c>
      <c r="I308" s="98" t="s">
        <v>570</v>
      </c>
      <c r="K308" s="95">
        <v>54</v>
      </c>
      <c r="L308" s="49">
        <v>0.01</v>
      </c>
      <c r="M308" s="87">
        <f t="shared" si="8"/>
        <v>54</v>
      </c>
      <c r="N308" s="44" t="s">
        <v>519</v>
      </c>
      <c r="O308" s="88"/>
    </row>
    <row r="309" s="32" customFormat="1" ht="15.75" customHeight="1" spans="1:15">
      <c r="A309" s="44">
        <v>83</v>
      </c>
      <c r="B309" s="44"/>
      <c r="C309" s="44"/>
      <c r="D309" s="44"/>
      <c r="E309" s="44" t="s">
        <v>129</v>
      </c>
      <c r="F309" s="93" t="s">
        <v>667</v>
      </c>
      <c r="G309" s="93" t="s">
        <v>668</v>
      </c>
      <c r="H309" s="94">
        <v>2</v>
      </c>
      <c r="I309" s="98" t="s">
        <v>469</v>
      </c>
      <c r="K309" s="95">
        <v>21</v>
      </c>
      <c r="L309" s="49">
        <v>0.01</v>
      </c>
      <c r="M309" s="87">
        <f t="shared" si="8"/>
        <v>42</v>
      </c>
      <c r="N309" s="44" t="s">
        <v>519</v>
      </c>
      <c r="O309" s="88"/>
    </row>
    <row r="310" s="32" customFormat="1" ht="15" spans="1:15">
      <c r="A310" s="44">
        <v>84</v>
      </c>
      <c r="B310" s="44"/>
      <c r="C310" s="44"/>
      <c r="D310" s="44"/>
      <c r="E310" s="44" t="s">
        <v>129</v>
      </c>
      <c r="F310" s="93" t="s">
        <v>669</v>
      </c>
      <c r="G310" s="93"/>
      <c r="H310" s="94">
        <v>1</v>
      </c>
      <c r="I310" s="98" t="s">
        <v>469</v>
      </c>
      <c r="K310" s="95">
        <v>10</v>
      </c>
      <c r="L310" s="49">
        <v>0.01</v>
      </c>
      <c r="M310" s="87">
        <f t="shared" si="8"/>
        <v>10</v>
      </c>
      <c r="N310" s="44" t="s">
        <v>519</v>
      </c>
      <c r="O310" s="88"/>
    </row>
    <row r="311" s="32" customFormat="1" ht="15" spans="1:15">
      <c r="A311" s="44">
        <v>85</v>
      </c>
      <c r="B311" s="44"/>
      <c r="C311" s="44"/>
      <c r="D311" s="44"/>
      <c r="E311" s="44" t="s">
        <v>129</v>
      </c>
      <c r="F311" s="93" t="s">
        <v>670</v>
      </c>
      <c r="G311" s="93" t="s">
        <v>671</v>
      </c>
      <c r="H311" s="94">
        <v>3</v>
      </c>
      <c r="I311" s="98" t="s">
        <v>469</v>
      </c>
      <c r="K311" s="95">
        <v>12</v>
      </c>
      <c r="L311" s="49">
        <v>0.01</v>
      </c>
      <c r="M311" s="87">
        <f t="shared" si="8"/>
        <v>36</v>
      </c>
      <c r="N311" s="44" t="s">
        <v>519</v>
      </c>
      <c r="O311" s="88"/>
    </row>
    <row r="312" s="32" customFormat="1" ht="15.75" customHeight="1" spans="1:15">
      <c r="A312" s="44">
        <v>86</v>
      </c>
      <c r="B312" s="44"/>
      <c r="C312" s="44"/>
      <c r="D312" s="44"/>
      <c r="E312" s="44" t="s">
        <v>129</v>
      </c>
      <c r="F312" s="93" t="s">
        <v>672</v>
      </c>
      <c r="G312" s="93" t="s">
        <v>673</v>
      </c>
      <c r="H312" s="94">
        <v>20</v>
      </c>
      <c r="I312" s="98" t="s">
        <v>674</v>
      </c>
      <c r="K312" s="95">
        <v>9.5</v>
      </c>
      <c r="L312" s="49">
        <v>0.01</v>
      </c>
      <c r="M312" s="87">
        <f t="shared" si="8"/>
        <v>190</v>
      </c>
      <c r="N312" s="44" t="s">
        <v>519</v>
      </c>
      <c r="O312" s="88">
        <v>45887</v>
      </c>
    </row>
    <row r="313" s="32" customFormat="1" ht="15" spans="1:15">
      <c r="A313" s="44">
        <v>87</v>
      </c>
      <c r="B313" s="44"/>
      <c r="C313" s="44"/>
      <c r="D313" s="44"/>
      <c r="E313" s="44" t="s">
        <v>129</v>
      </c>
      <c r="F313" s="93" t="s">
        <v>675</v>
      </c>
      <c r="G313" s="93" t="s">
        <v>676</v>
      </c>
      <c r="H313" s="94">
        <v>2</v>
      </c>
      <c r="I313" s="98" t="s">
        <v>109</v>
      </c>
      <c r="K313" s="95">
        <v>17.5</v>
      </c>
      <c r="L313" s="49">
        <v>0.01</v>
      </c>
      <c r="M313" s="87">
        <f t="shared" si="8"/>
        <v>35</v>
      </c>
      <c r="N313" s="44" t="s">
        <v>519</v>
      </c>
      <c r="O313" s="88"/>
    </row>
    <row r="314" s="32" customFormat="1" ht="15" spans="1:15">
      <c r="A314" s="44">
        <v>88</v>
      </c>
      <c r="B314" s="44"/>
      <c r="C314" s="44"/>
      <c r="D314" s="44"/>
      <c r="E314" s="44" t="s">
        <v>129</v>
      </c>
      <c r="F314" s="93" t="s">
        <v>677</v>
      </c>
      <c r="G314" s="93"/>
      <c r="H314" s="94">
        <v>1</v>
      </c>
      <c r="I314" s="98" t="s">
        <v>109</v>
      </c>
      <c r="K314" s="95">
        <v>65</v>
      </c>
      <c r="L314" s="49">
        <v>0.01</v>
      </c>
      <c r="M314" s="87">
        <f t="shared" si="8"/>
        <v>65</v>
      </c>
      <c r="N314" s="44" t="s">
        <v>519</v>
      </c>
      <c r="O314" s="88"/>
    </row>
    <row r="315" s="32" customFormat="1" ht="15" spans="1:15">
      <c r="A315" s="44">
        <v>89</v>
      </c>
      <c r="B315" s="44"/>
      <c r="C315" s="44"/>
      <c r="D315" s="44"/>
      <c r="E315" s="44" t="s">
        <v>129</v>
      </c>
      <c r="F315" s="93" t="s">
        <v>678</v>
      </c>
      <c r="G315" s="93" t="s">
        <v>679</v>
      </c>
      <c r="H315" s="94">
        <v>3</v>
      </c>
      <c r="I315" s="98" t="s">
        <v>469</v>
      </c>
      <c r="K315" s="95">
        <v>90</v>
      </c>
      <c r="L315" s="49">
        <v>0.01</v>
      </c>
      <c r="M315" s="87">
        <f t="shared" si="8"/>
        <v>270</v>
      </c>
      <c r="N315" s="44" t="s">
        <v>519</v>
      </c>
      <c r="O315" s="88">
        <v>45890</v>
      </c>
    </row>
    <row r="316" s="32" customFormat="1" ht="15" spans="1:15">
      <c r="A316" s="44">
        <v>90</v>
      </c>
      <c r="B316" s="44"/>
      <c r="C316" s="44"/>
      <c r="D316" s="44"/>
      <c r="E316" s="44" t="s">
        <v>129</v>
      </c>
      <c r="F316" s="93" t="s">
        <v>680</v>
      </c>
      <c r="G316" s="93" t="s">
        <v>681</v>
      </c>
      <c r="H316" s="94">
        <v>100</v>
      </c>
      <c r="I316" s="98" t="s">
        <v>109</v>
      </c>
      <c r="K316" s="95">
        <v>1.6</v>
      </c>
      <c r="L316" s="49">
        <v>0.01</v>
      </c>
      <c r="M316" s="87">
        <f t="shared" si="8"/>
        <v>160</v>
      </c>
      <c r="N316" s="44" t="s">
        <v>519</v>
      </c>
      <c r="O316" s="88"/>
    </row>
    <row r="317" s="32" customFormat="1" ht="15.75" customHeight="1" spans="1:15">
      <c r="A317" s="44">
        <v>91</v>
      </c>
      <c r="B317" s="44"/>
      <c r="C317" s="44"/>
      <c r="D317" s="44"/>
      <c r="E317" s="44" t="s">
        <v>129</v>
      </c>
      <c r="F317" s="93" t="s">
        <v>600</v>
      </c>
      <c r="G317" s="93" t="s">
        <v>682</v>
      </c>
      <c r="H317" s="94">
        <v>40</v>
      </c>
      <c r="I317" s="44" t="s">
        <v>109</v>
      </c>
      <c r="J317" s="44"/>
      <c r="K317" s="95">
        <v>2.65</v>
      </c>
      <c r="L317" s="49">
        <v>0.01</v>
      </c>
      <c r="M317" s="87">
        <f t="shared" si="8"/>
        <v>106</v>
      </c>
      <c r="N317" s="44" t="s">
        <v>519</v>
      </c>
      <c r="O317" s="88"/>
    </row>
    <row r="318" s="32" customFormat="1" ht="15.75" customHeight="1" spans="1:15">
      <c r="A318" s="44">
        <v>92</v>
      </c>
      <c r="B318" s="44"/>
      <c r="C318" s="44"/>
      <c r="D318" s="44"/>
      <c r="E318" s="44" t="s">
        <v>129</v>
      </c>
      <c r="F318" s="93" t="s">
        <v>683</v>
      </c>
      <c r="G318" s="93" t="s">
        <v>684</v>
      </c>
      <c r="H318" s="94">
        <v>2</v>
      </c>
      <c r="I318" s="44" t="s">
        <v>109</v>
      </c>
      <c r="J318" s="44"/>
      <c r="K318" s="95">
        <v>132</v>
      </c>
      <c r="L318" s="49">
        <v>0.01</v>
      </c>
      <c r="M318" s="87">
        <f t="shared" si="8"/>
        <v>264</v>
      </c>
      <c r="N318" s="44" t="s">
        <v>519</v>
      </c>
      <c r="O318" s="88"/>
    </row>
    <row r="319" s="32" customFormat="1" ht="15" spans="1:15">
      <c r="A319" s="44">
        <v>93</v>
      </c>
      <c r="B319" s="44"/>
      <c r="C319" s="44"/>
      <c r="D319" s="44"/>
      <c r="E319" s="44" t="s">
        <v>129</v>
      </c>
      <c r="F319" s="93" t="s">
        <v>685</v>
      </c>
      <c r="G319" s="93" t="s">
        <v>686</v>
      </c>
      <c r="H319" s="94">
        <v>1</v>
      </c>
      <c r="I319" s="44" t="s">
        <v>109</v>
      </c>
      <c r="J319" s="44"/>
      <c r="K319" s="95">
        <v>725</v>
      </c>
      <c r="L319" s="49">
        <v>0.01</v>
      </c>
      <c r="M319" s="87">
        <f t="shared" si="8"/>
        <v>725</v>
      </c>
      <c r="N319" s="44" t="s">
        <v>519</v>
      </c>
      <c r="O319" s="88">
        <v>45891</v>
      </c>
    </row>
    <row r="320" s="32" customFormat="1" ht="15" spans="1:15">
      <c r="A320" s="44">
        <v>94</v>
      </c>
      <c r="B320" s="44"/>
      <c r="C320" s="44"/>
      <c r="D320" s="44"/>
      <c r="E320" s="44" t="s">
        <v>129</v>
      </c>
      <c r="F320" s="93" t="s">
        <v>687</v>
      </c>
      <c r="G320" s="93" t="s">
        <v>688</v>
      </c>
      <c r="H320" s="94">
        <v>1</v>
      </c>
      <c r="I320" s="44" t="s">
        <v>109</v>
      </c>
      <c r="J320" s="44"/>
      <c r="K320" s="95">
        <v>485</v>
      </c>
      <c r="L320" s="49">
        <v>0.01</v>
      </c>
      <c r="M320" s="87">
        <f t="shared" si="8"/>
        <v>485</v>
      </c>
      <c r="N320" s="44" t="s">
        <v>519</v>
      </c>
      <c r="O320" s="88"/>
    </row>
    <row r="321" s="32" customFormat="1" ht="15.75" customHeight="1" spans="1:15">
      <c r="A321" s="44">
        <v>95</v>
      </c>
      <c r="B321" s="44"/>
      <c r="C321" s="44"/>
      <c r="D321" s="44"/>
      <c r="E321" s="44" t="s">
        <v>129</v>
      </c>
      <c r="F321" s="93" t="s">
        <v>539</v>
      </c>
      <c r="G321" s="93" t="s">
        <v>689</v>
      </c>
      <c r="H321" s="94">
        <v>1</v>
      </c>
      <c r="I321" s="44" t="s">
        <v>109</v>
      </c>
      <c r="J321" s="44"/>
      <c r="K321" s="95">
        <v>100</v>
      </c>
      <c r="L321" s="49">
        <v>0.01</v>
      </c>
      <c r="M321" s="87">
        <f t="shared" si="8"/>
        <v>100</v>
      </c>
      <c r="N321" s="44" t="s">
        <v>519</v>
      </c>
      <c r="O321" s="88"/>
    </row>
    <row r="322" s="32" customFormat="1" ht="15" spans="1:15">
      <c r="A322" s="44">
        <v>96</v>
      </c>
      <c r="B322" s="44"/>
      <c r="C322" s="44"/>
      <c r="D322" s="44"/>
      <c r="E322" s="44" t="s">
        <v>129</v>
      </c>
      <c r="F322" s="93" t="s">
        <v>690</v>
      </c>
      <c r="G322" s="93" t="s">
        <v>691</v>
      </c>
      <c r="H322" s="94">
        <v>125</v>
      </c>
      <c r="I322" s="44" t="s">
        <v>109</v>
      </c>
      <c r="J322" s="44"/>
      <c r="K322" s="95">
        <v>1.6</v>
      </c>
      <c r="L322" s="49">
        <v>0.01</v>
      </c>
      <c r="M322" s="87">
        <f t="shared" si="8"/>
        <v>200</v>
      </c>
      <c r="N322" s="44" t="s">
        <v>519</v>
      </c>
      <c r="O322" s="88">
        <v>45894</v>
      </c>
    </row>
    <row r="323" s="32" customFormat="1" ht="15.75" customHeight="1" spans="1:15">
      <c r="A323" s="44">
        <v>97</v>
      </c>
      <c r="B323" s="44"/>
      <c r="C323" s="44"/>
      <c r="D323" s="44"/>
      <c r="E323" s="44" t="s">
        <v>129</v>
      </c>
      <c r="F323" s="93" t="s">
        <v>692</v>
      </c>
      <c r="G323" s="93" t="s">
        <v>693</v>
      </c>
      <c r="H323" s="94">
        <v>1</v>
      </c>
      <c r="I323" s="44" t="s">
        <v>109</v>
      </c>
      <c r="J323" s="44"/>
      <c r="K323" s="95">
        <v>32</v>
      </c>
      <c r="L323" s="49">
        <v>0.01</v>
      </c>
      <c r="M323" s="87">
        <f t="shared" si="8"/>
        <v>32</v>
      </c>
      <c r="N323" s="44" t="s">
        <v>519</v>
      </c>
      <c r="O323" s="88"/>
    </row>
    <row r="324" s="32" customFormat="1" ht="15" spans="1:15">
      <c r="A324" s="44">
        <v>98</v>
      </c>
      <c r="B324" s="44"/>
      <c r="C324" s="44"/>
      <c r="D324" s="44"/>
      <c r="E324" s="44" t="s">
        <v>129</v>
      </c>
      <c r="F324" s="93" t="s">
        <v>630</v>
      </c>
      <c r="G324" s="93" t="s">
        <v>694</v>
      </c>
      <c r="H324" s="94">
        <v>2</v>
      </c>
      <c r="I324" s="44" t="s">
        <v>109</v>
      </c>
      <c r="J324" s="44"/>
      <c r="K324" s="95">
        <v>11</v>
      </c>
      <c r="L324" s="49">
        <v>0.01</v>
      </c>
      <c r="M324" s="87">
        <f t="shared" si="8"/>
        <v>22</v>
      </c>
      <c r="N324" s="44" t="s">
        <v>519</v>
      </c>
      <c r="O324" s="88"/>
    </row>
    <row r="325" s="32" customFormat="1" ht="15.75" customHeight="1" spans="1:15">
      <c r="A325" s="44">
        <v>99</v>
      </c>
      <c r="B325" s="44"/>
      <c r="C325" s="44"/>
      <c r="D325" s="44"/>
      <c r="E325" s="44" t="s">
        <v>129</v>
      </c>
      <c r="F325" s="93" t="s">
        <v>695</v>
      </c>
      <c r="G325" s="93" t="s">
        <v>696</v>
      </c>
      <c r="H325" s="94">
        <v>1</v>
      </c>
      <c r="I325" s="44" t="s">
        <v>109</v>
      </c>
      <c r="J325" s="44"/>
      <c r="K325" s="95">
        <v>13.5</v>
      </c>
      <c r="L325" s="49">
        <v>0.01</v>
      </c>
      <c r="M325" s="87">
        <f t="shared" si="8"/>
        <v>13.5</v>
      </c>
      <c r="N325" s="44" t="s">
        <v>519</v>
      </c>
      <c r="O325" s="88"/>
    </row>
    <row r="326" s="32" customFormat="1" ht="15" spans="1:15">
      <c r="A326" s="44">
        <v>100</v>
      </c>
      <c r="B326" s="44"/>
      <c r="C326" s="44"/>
      <c r="D326" s="44"/>
      <c r="E326" s="44" t="s">
        <v>129</v>
      </c>
      <c r="F326" s="93" t="s">
        <v>697</v>
      </c>
      <c r="G326" s="93" t="s">
        <v>698</v>
      </c>
      <c r="H326" s="94">
        <v>30</v>
      </c>
      <c r="I326" s="44" t="s">
        <v>109</v>
      </c>
      <c r="J326" s="44"/>
      <c r="K326" s="95">
        <v>2.2</v>
      </c>
      <c r="L326" s="49">
        <v>0.01</v>
      </c>
      <c r="M326" s="87">
        <f t="shared" si="8"/>
        <v>66</v>
      </c>
      <c r="N326" s="44" t="s">
        <v>519</v>
      </c>
      <c r="O326" s="88"/>
    </row>
    <row r="327" s="32" customFormat="1" ht="15.75" customHeight="1" spans="1:15">
      <c r="A327" s="44">
        <v>101</v>
      </c>
      <c r="B327" s="44"/>
      <c r="C327" s="44"/>
      <c r="D327" s="44"/>
      <c r="E327" s="44" t="s">
        <v>129</v>
      </c>
      <c r="F327" s="93" t="s">
        <v>630</v>
      </c>
      <c r="G327" s="93" t="s">
        <v>699</v>
      </c>
      <c r="H327" s="94">
        <v>3</v>
      </c>
      <c r="I327" s="44" t="s">
        <v>109</v>
      </c>
      <c r="J327" s="44"/>
      <c r="K327" s="95">
        <v>30</v>
      </c>
      <c r="L327" s="49">
        <v>0.01</v>
      </c>
      <c r="M327" s="87">
        <f t="shared" si="8"/>
        <v>90</v>
      </c>
      <c r="N327" s="44" t="s">
        <v>519</v>
      </c>
      <c r="O327" s="88">
        <v>45895</v>
      </c>
    </row>
    <row r="328" s="32" customFormat="1" ht="15.75" customHeight="1" spans="1:15">
      <c r="A328" s="44">
        <v>102</v>
      </c>
      <c r="B328" s="44"/>
      <c r="C328" s="44"/>
      <c r="D328" s="44"/>
      <c r="E328" s="44" t="s">
        <v>129</v>
      </c>
      <c r="F328" s="93" t="s">
        <v>700</v>
      </c>
      <c r="G328" s="93" t="s">
        <v>701</v>
      </c>
      <c r="H328" s="94">
        <v>2</v>
      </c>
      <c r="I328" s="44" t="s">
        <v>109</v>
      </c>
      <c r="J328" s="44"/>
      <c r="K328" s="95">
        <v>4</v>
      </c>
      <c r="L328" s="49">
        <v>0.01</v>
      </c>
      <c r="M328" s="87">
        <f t="shared" si="8"/>
        <v>8</v>
      </c>
      <c r="N328" s="44" t="s">
        <v>519</v>
      </c>
      <c r="O328" s="88"/>
    </row>
    <row r="329" s="32" customFormat="1" ht="15" spans="1:15">
      <c r="A329" s="44">
        <v>103</v>
      </c>
      <c r="B329" s="44"/>
      <c r="C329" s="44"/>
      <c r="D329" s="44"/>
      <c r="E329" s="44" t="s">
        <v>129</v>
      </c>
      <c r="F329" s="93" t="s">
        <v>702</v>
      </c>
      <c r="G329" s="93" t="s">
        <v>703</v>
      </c>
      <c r="H329" s="94">
        <v>1</v>
      </c>
      <c r="I329" s="44" t="s">
        <v>109</v>
      </c>
      <c r="J329" s="44"/>
      <c r="K329" s="95">
        <v>315</v>
      </c>
      <c r="L329" s="49">
        <v>0.01</v>
      </c>
      <c r="M329" s="87">
        <f t="shared" si="8"/>
        <v>315</v>
      </c>
      <c r="N329" s="44" t="s">
        <v>519</v>
      </c>
      <c r="O329" s="88"/>
    </row>
    <row r="330" s="32" customFormat="1" ht="15" spans="1:15">
      <c r="A330" s="44">
        <v>104</v>
      </c>
      <c r="B330" s="44"/>
      <c r="C330" s="44"/>
      <c r="D330" s="44"/>
      <c r="E330" s="44" t="s">
        <v>129</v>
      </c>
      <c r="F330" s="93" t="s">
        <v>704</v>
      </c>
      <c r="G330" s="93" t="s">
        <v>705</v>
      </c>
      <c r="H330" s="94">
        <v>5</v>
      </c>
      <c r="I330" s="44" t="s">
        <v>109</v>
      </c>
      <c r="J330" s="44"/>
      <c r="K330" s="95">
        <v>38.8</v>
      </c>
      <c r="L330" s="49">
        <v>0.01</v>
      </c>
      <c r="M330" s="87">
        <f t="shared" si="8"/>
        <v>194</v>
      </c>
      <c r="N330" s="44" t="s">
        <v>519</v>
      </c>
      <c r="O330" s="88"/>
    </row>
    <row r="331" s="32" customFormat="1" ht="15.75" customHeight="1" spans="1:15">
      <c r="A331" s="44">
        <v>105</v>
      </c>
      <c r="B331" s="44"/>
      <c r="C331" s="44"/>
      <c r="D331" s="44"/>
      <c r="E331" s="44" t="s">
        <v>129</v>
      </c>
      <c r="F331" s="93" t="s">
        <v>581</v>
      </c>
      <c r="G331" s="93" t="s">
        <v>706</v>
      </c>
      <c r="H331" s="94">
        <v>40</v>
      </c>
      <c r="I331" s="44" t="s">
        <v>109</v>
      </c>
      <c r="J331" s="44"/>
      <c r="K331" s="95">
        <v>2.6</v>
      </c>
      <c r="L331" s="49">
        <v>0.01</v>
      </c>
      <c r="M331" s="87">
        <f t="shared" si="8"/>
        <v>104</v>
      </c>
      <c r="N331" s="44" t="s">
        <v>519</v>
      </c>
      <c r="O331" s="88">
        <v>45897</v>
      </c>
    </row>
    <row r="332" s="32" customFormat="1" ht="15" spans="1:15">
      <c r="A332" s="44">
        <v>106</v>
      </c>
      <c r="B332" s="44"/>
      <c r="C332" s="44"/>
      <c r="D332" s="44"/>
      <c r="E332" s="44" t="s">
        <v>129</v>
      </c>
      <c r="F332" s="93" t="s">
        <v>707</v>
      </c>
      <c r="G332" s="93" t="s">
        <v>708</v>
      </c>
      <c r="H332" s="94">
        <v>1</v>
      </c>
      <c r="I332" s="44" t="s">
        <v>109</v>
      </c>
      <c r="J332" s="44"/>
      <c r="K332" s="95">
        <v>45</v>
      </c>
      <c r="L332" s="49">
        <v>0.01</v>
      </c>
      <c r="M332" s="87">
        <f t="shared" si="8"/>
        <v>45</v>
      </c>
      <c r="N332" s="44" t="s">
        <v>519</v>
      </c>
      <c r="O332" s="88"/>
    </row>
    <row r="333" s="32" customFormat="1" ht="15" spans="1:15">
      <c r="A333" s="44">
        <v>107</v>
      </c>
      <c r="B333" s="44"/>
      <c r="C333" s="44"/>
      <c r="D333" s="44"/>
      <c r="E333" s="44" t="s">
        <v>129</v>
      </c>
      <c r="F333" s="93" t="s">
        <v>709</v>
      </c>
      <c r="G333" s="93" t="s">
        <v>710</v>
      </c>
      <c r="H333" s="94">
        <v>5</v>
      </c>
      <c r="I333" s="44" t="s">
        <v>109</v>
      </c>
      <c r="J333" s="44"/>
      <c r="K333" s="95">
        <v>28</v>
      </c>
      <c r="L333" s="49">
        <v>0.01</v>
      </c>
      <c r="M333" s="87">
        <f t="shared" si="8"/>
        <v>140</v>
      </c>
      <c r="N333" s="44" t="s">
        <v>519</v>
      </c>
      <c r="O333" s="88"/>
    </row>
    <row r="334" s="32" customFormat="1" ht="15.75" customHeight="1" spans="1:15">
      <c r="A334" s="44">
        <v>108</v>
      </c>
      <c r="B334" s="44"/>
      <c r="C334" s="44"/>
      <c r="D334" s="44"/>
      <c r="E334" s="44" t="s">
        <v>129</v>
      </c>
      <c r="F334" s="93" t="s">
        <v>609</v>
      </c>
      <c r="G334" s="93" t="s">
        <v>711</v>
      </c>
      <c r="H334" s="94">
        <v>3</v>
      </c>
      <c r="I334" s="44" t="s">
        <v>109</v>
      </c>
      <c r="J334" s="44"/>
      <c r="K334" s="95">
        <v>9</v>
      </c>
      <c r="L334" s="49">
        <v>0.01</v>
      </c>
      <c r="M334" s="87">
        <f t="shared" si="8"/>
        <v>27</v>
      </c>
      <c r="N334" s="44" t="s">
        <v>519</v>
      </c>
      <c r="O334" s="88"/>
    </row>
    <row r="335" s="32" customFormat="1" ht="15" spans="1:15">
      <c r="A335" s="44">
        <v>109</v>
      </c>
      <c r="B335" s="44"/>
      <c r="C335" s="44"/>
      <c r="D335" s="44"/>
      <c r="E335" s="44" t="s">
        <v>129</v>
      </c>
      <c r="F335" s="93" t="s">
        <v>712</v>
      </c>
      <c r="G335" s="93" t="s">
        <v>713</v>
      </c>
      <c r="H335" s="94">
        <v>1</v>
      </c>
      <c r="I335" s="44" t="s">
        <v>109</v>
      </c>
      <c r="J335" s="44"/>
      <c r="K335" s="95">
        <v>36</v>
      </c>
      <c r="L335" s="49">
        <v>0.01</v>
      </c>
      <c r="M335" s="87">
        <f t="shared" si="8"/>
        <v>36</v>
      </c>
      <c r="N335" s="44" t="s">
        <v>519</v>
      </c>
      <c r="O335" s="88"/>
    </row>
    <row r="336" s="32" customFormat="1" ht="15" spans="1:15">
      <c r="A336" s="44">
        <v>110</v>
      </c>
      <c r="B336" s="44"/>
      <c r="C336" s="44"/>
      <c r="D336" s="44"/>
      <c r="E336" s="44" t="s">
        <v>129</v>
      </c>
      <c r="F336" s="93" t="s">
        <v>714</v>
      </c>
      <c r="G336" s="93" t="s">
        <v>715</v>
      </c>
      <c r="H336" s="94">
        <v>1</v>
      </c>
      <c r="I336" s="44" t="s">
        <v>109</v>
      </c>
      <c r="J336" s="44"/>
      <c r="K336" s="95">
        <v>9</v>
      </c>
      <c r="L336" s="49">
        <v>0.01</v>
      </c>
      <c r="M336" s="87">
        <f t="shared" si="8"/>
        <v>9</v>
      </c>
      <c r="N336" s="44" t="s">
        <v>519</v>
      </c>
      <c r="O336" s="88"/>
    </row>
    <row r="337" s="32" customFormat="1" ht="15.75" customHeight="1" spans="1:15">
      <c r="A337" s="44">
        <v>111</v>
      </c>
      <c r="B337" s="44"/>
      <c r="C337" s="44"/>
      <c r="D337" s="44"/>
      <c r="E337" s="44" t="s">
        <v>129</v>
      </c>
      <c r="F337" s="93" t="s">
        <v>521</v>
      </c>
      <c r="G337" s="93" t="s">
        <v>716</v>
      </c>
      <c r="H337" s="94">
        <v>1</v>
      </c>
      <c r="I337" s="44" t="s">
        <v>109</v>
      </c>
      <c r="J337" s="44"/>
      <c r="K337" s="95">
        <v>3465</v>
      </c>
      <c r="L337" s="49">
        <v>0.01</v>
      </c>
      <c r="M337" s="87">
        <f t="shared" si="8"/>
        <v>3465</v>
      </c>
      <c r="N337" s="44" t="s">
        <v>519</v>
      </c>
      <c r="O337" s="88"/>
    </row>
    <row r="338" s="32" customFormat="1" ht="15.75" customHeight="1" spans="1:15">
      <c r="A338" s="44">
        <v>112</v>
      </c>
      <c r="B338" s="44"/>
      <c r="C338" s="44"/>
      <c r="D338" s="44"/>
      <c r="E338" s="44" t="s">
        <v>129</v>
      </c>
      <c r="F338" s="93" t="s">
        <v>717</v>
      </c>
      <c r="G338" s="93" t="s">
        <v>718</v>
      </c>
      <c r="H338" s="94">
        <v>1</v>
      </c>
      <c r="I338" s="44" t="s">
        <v>109</v>
      </c>
      <c r="J338" s="44"/>
      <c r="K338" s="95">
        <v>85</v>
      </c>
      <c r="L338" s="49">
        <v>0.01</v>
      </c>
      <c r="M338" s="87">
        <f t="shared" si="8"/>
        <v>85</v>
      </c>
      <c r="N338" s="44" t="s">
        <v>519</v>
      </c>
      <c r="O338" s="88">
        <v>45898</v>
      </c>
    </row>
    <row r="339" s="32" customFormat="1" ht="15" spans="1:15">
      <c r="A339" s="44">
        <v>113</v>
      </c>
      <c r="B339" s="44"/>
      <c r="C339" s="44"/>
      <c r="D339" s="44"/>
      <c r="E339" s="44" t="s">
        <v>129</v>
      </c>
      <c r="F339" s="93" t="s">
        <v>719</v>
      </c>
      <c r="G339" s="93" t="s">
        <v>720</v>
      </c>
      <c r="H339" s="94">
        <v>1</v>
      </c>
      <c r="I339" s="44" t="s">
        <v>109</v>
      </c>
      <c r="J339" s="44"/>
      <c r="K339" s="95">
        <v>108</v>
      </c>
      <c r="L339" s="49">
        <v>0.01</v>
      </c>
      <c r="M339" s="87">
        <f t="shared" si="8"/>
        <v>108</v>
      </c>
      <c r="N339" s="44" t="s">
        <v>519</v>
      </c>
      <c r="O339" s="88"/>
    </row>
    <row r="340" s="32" customFormat="1" ht="15" spans="1:15">
      <c r="A340" s="44">
        <v>114</v>
      </c>
      <c r="B340" s="44"/>
      <c r="C340" s="44"/>
      <c r="D340" s="44"/>
      <c r="E340" s="44" t="s">
        <v>129</v>
      </c>
      <c r="F340" s="93" t="s">
        <v>721</v>
      </c>
      <c r="G340" s="93" t="s">
        <v>722</v>
      </c>
      <c r="H340" s="94">
        <v>100</v>
      </c>
      <c r="I340" s="44" t="s">
        <v>109</v>
      </c>
      <c r="J340" s="44"/>
      <c r="K340" s="95">
        <v>0.16</v>
      </c>
      <c r="L340" s="49">
        <v>0.01</v>
      </c>
      <c r="M340" s="87">
        <f t="shared" si="8"/>
        <v>16</v>
      </c>
      <c r="N340" s="44" t="s">
        <v>519</v>
      </c>
      <c r="O340" s="88"/>
    </row>
    <row r="341" s="32" customFormat="1" ht="15" spans="1:15">
      <c r="A341" s="44">
        <v>115</v>
      </c>
      <c r="B341" s="44"/>
      <c r="C341" s="44"/>
      <c r="D341" s="44"/>
      <c r="E341" s="44" t="s">
        <v>129</v>
      </c>
      <c r="F341" s="93" t="s">
        <v>723</v>
      </c>
      <c r="G341" s="93" t="s">
        <v>724</v>
      </c>
      <c r="H341" s="94">
        <v>11</v>
      </c>
      <c r="I341" s="98" t="s">
        <v>109</v>
      </c>
      <c r="K341" s="95">
        <v>26.5</v>
      </c>
      <c r="L341" s="49">
        <v>0.01</v>
      </c>
      <c r="M341" s="87">
        <f t="shared" si="8"/>
        <v>291.5</v>
      </c>
      <c r="N341" s="44" t="s">
        <v>519</v>
      </c>
      <c r="O341" s="88"/>
    </row>
    <row r="342" s="32" customFormat="1" ht="15" spans="1:15">
      <c r="A342" s="44">
        <v>116</v>
      </c>
      <c r="B342" s="44"/>
      <c r="C342" s="44"/>
      <c r="D342" s="44"/>
      <c r="E342" s="44" t="s">
        <v>129</v>
      </c>
      <c r="F342" s="93" t="s">
        <v>717</v>
      </c>
      <c r="G342" s="93" t="s">
        <v>725</v>
      </c>
      <c r="H342" s="94">
        <v>1</v>
      </c>
      <c r="I342" s="98" t="s">
        <v>109</v>
      </c>
      <c r="K342" s="95">
        <v>265</v>
      </c>
      <c r="L342" s="49">
        <v>0.01</v>
      </c>
      <c r="M342" s="87">
        <f t="shared" si="8"/>
        <v>265</v>
      </c>
      <c r="N342" s="44" t="s">
        <v>519</v>
      </c>
      <c r="O342" s="88"/>
    </row>
    <row r="343" s="32" customFormat="1" ht="15.75" customHeight="1" spans="1:15">
      <c r="A343" s="44">
        <v>117</v>
      </c>
      <c r="B343" s="44"/>
      <c r="C343" s="44"/>
      <c r="D343" s="44"/>
      <c r="E343" s="44" t="s">
        <v>129</v>
      </c>
      <c r="F343" s="93" t="s">
        <v>726</v>
      </c>
      <c r="G343" s="93" t="s">
        <v>727</v>
      </c>
      <c r="H343" s="94">
        <v>10</v>
      </c>
      <c r="I343" s="98" t="s">
        <v>109</v>
      </c>
      <c r="K343" s="95">
        <v>26.5</v>
      </c>
      <c r="L343" s="49">
        <v>0.01</v>
      </c>
      <c r="M343" s="87">
        <f t="shared" si="8"/>
        <v>265</v>
      </c>
      <c r="N343" s="44" t="s">
        <v>519</v>
      </c>
      <c r="O343" s="88"/>
    </row>
    <row r="344" s="32" customFormat="1" ht="15" spans="1:15">
      <c r="A344" s="44">
        <v>118</v>
      </c>
      <c r="B344" s="44"/>
      <c r="C344" s="44"/>
      <c r="D344" s="44"/>
      <c r="E344" s="44" t="s">
        <v>129</v>
      </c>
      <c r="F344" s="94" t="s">
        <v>581</v>
      </c>
      <c r="G344" s="93" t="s">
        <v>706</v>
      </c>
      <c r="H344" s="94">
        <v>40</v>
      </c>
      <c r="I344" s="44"/>
      <c r="J344" s="44"/>
      <c r="K344" s="95">
        <v>2.6</v>
      </c>
      <c r="L344" s="49">
        <v>0.01</v>
      </c>
      <c r="M344" s="87">
        <f t="shared" si="8"/>
        <v>104</v>
      </c>
      <c r="N344" s="44" t="s">
        <v>519</v>
      </c>
      <c r="O344" s="89">
        <v>45901</v>
      </c>
    </row>
    <row r="345" s="32" customFormat="1" ht="15" spans="1:15">
      <c r="A345" s="44">
        <v>119</v>
      </c>
      <c r="B345" s="44"/>
      <c r="C345" s="44"/>
      <c r="D345" s="44"/>
      <c r="E345" s="44" t="s">
        <v>129</v>
      </c>
      <c r="F345" s="94" t="s">
        <v>728</v>
      </c>
      <c r="G345" s="93" t="s">
        <v>729</v>
      </c>
      <c r="H345" s="94">
        <v>1</v>
      </c>
      <c r="I345" s="44"/>
      <c r="J345" s="44"/>
      <c r="K345" s="95">
        <v>940</v>
      </c>
      <c r="L345" s="49">
        <v>0.01</v>
      </c>
      <c r="M345" s="87">
        <f t="shared" si="8"/>
        <v>940</v>
      </c>
      <c r="N345" s="44" t="s">
        <v>519</v>
      </c>
      <c r="O345" s="90"/>
    </row>
    <row r="346" s="32" customFormat="1" ht="15" spans="1:15">
      <c r="A346" s="44">
        <v>120</v>
      </c>
      <c r="B346" s="44"/>
      <c r="C346" s="44"/>
      <c r="D346" s="44"/>
      <c r="E346" s="44" t="s">
        <v>129</v>
      </c>
      <c r="F346" s="94" t="s">
        <v>730</v>
      </c>
      <c r="G346" s="93" t="s">
        <v>731</v>
      </c>
      <c r="H346" s="94">
        <v>1</v>
      </c>
      <c r="I346" s="44"/>
      <c r="J346" s="44"/>
      <c r="K346" s="95">
        <v>6</v>
      </c>
      <c r="L346" s="49">
        <v>0.01</v>
      </c>
      <c r="M346" s="87">
        <f t="shared" si="8"/>
        <v>6</v>
      </c>
      <c r="N346" s="44" t="s">
        <v>519</v>
      </c>
      <c r="O346" s="89">
        <v>45902</v>
      </c>
    </row>
    <row r="347" s="32" customFormat="1" ht="15" spans="1:15">
      <c r="A347" s="44">
        <v>121</v>
      </c>
      <c r="B347" s="44"/>
      <c r="C347" s="44"/>
      <c r="D347" s="44"/>
      <c r="E347" s="44" t="s">
        <v>129</v>
      </c>
      <c r="F347" s="94" t="s">
        <v>732</v>
      </c>
      <c r="G347" s="93" t="s">
        <v>733</v>
      </c>
      <c r="H347" s="94">
        <v>1</v>
      </c>
      <c r="I347" s="44"/>
      <c r="J347" s="44"/>
      <c r="K347" s="95">
        <v>15</v>
      </c>
      <c r="L347" s="49">
        <v>0.01</v>
      </c>
      <c r="M347" s="87">
        <f t="shared" si="8"/>
        <v>15</v>
      </c>
      <c r="N347" s="44" t="s">
        <v>519</v>
      </c>
      <c r="O347" s="91"/>
    </row>
    <row r="348" s="32" customFormat="1" ht="15" spans="1:15">
      <c r="A348" s="44">
        <v>122</v>
      </c>
      <c r="B348" s="44"/>
      <c r="C348" s="44"/>
      <c r="D348" s="44"/>
      <c r="E348" s="44" t="s">
        <v>129</v>
      </c>
      <c r="F348" s="94" t="s">
        <v>734</v>
      </c>
      <c r="G348" s="93" t="s">
        <v>735</v>
      </c>
      <c r="H348" s="94">
        <v>1</v>
      </c>
      <c r="I348" s="44"/>
      <c r="J348" s="44"/>
      <c r="K348" s="95">
        <v>19.5</v>
      </c>
      <c r="L348" s="49">
        <v>0.01</v>
      </c>
      <c r="M348" s="87">
        <f t="shared" si="8"/>
        <v>19.5</v>
      </c>
      <c r="N348" s="44" t="s">
        <v>519</v>
      </c>
      <c r="O348" s="90"/>
    </row>
    <row r="349" s="32" customFormat="1" ht="15" spans="1:15">
      <c r="A349" s="44">
        <v>123</v>
      </c>
      <c r="B349" s="44"/>
      <c r="C349" s="44"/>
      <c r="D349" s="44"/>
      <c r="E349" s="44" t="s">
        <v>129</v>
      </c>
      <c r="F349" s="94" t="s">
        <v>736</v>
      </c>
      <c r="G349" s="93" t="s">
        <v>737</v>
      </c>
      <c r="H349" s="94">
        <v>1</v>
      </c>
      <c r="I349" s="44"/>
      <c r="J349" s="44"/>
      <c r="K349" s="95">
        <v>26</v>
      </c>
      <c r="L349" s="49">
        <v>0.01</v>
      </c>
      <c r="M349" s="87">
        <f t="shared" si="8"/>
        <v>26</v>
      </c>
      <c r="N349" s="44" t="s">
        <v>519</v>
      </c>
      <c r="O349" s="89">
        <v>45903</v>
      </c>
    </row>
    <row r="350" s="32" customFormat="1" ht="15" spans="1:15">
      <c r="A350" s="44">
        <v>124</v>
      </c>
      <c r="B350" s="44"/>
      <c r="C350" s="44"/>
      <c r="D350" s="44"/>
      <c r="E350" s="44" t="s">
        <v>129</v>
      </c>
      <c r="F350" s="94" t="s">
        <v>738</v>
      </c>
      <c r="G350" s="93" t="s">
        <v>739</v>
      </c>
      <c r="H350" s="94">
        <v>1</v>
      </c>
      <c r="I350" s="44"/>
      <c r="J350" s="44"/>
      <c r="K350" s="95">
        <v>100</v>
      </c>
      <c r="L350" s="49">
        <v>0.01</v>
      </c>
      <c r="M350" s="87">
        <f t="shared" si="8"/>
        <v>100</v>
      </c>
      <c r="N350" s="44" t="s">
        <v>519</v>
      </c>
      <c r="O350" s="90"/>
    </row>
    <row r="351" s="32" customFormat="1" ht="15" spans="1:15">
      <c r="A351" s="44">
        <v>125</v>
      </c>
      <c r="B351" s="44"/>
      <c r="C351" s="44"/>
      <c r="D351" s="44"/>
      <c r="E351" s="44" t="s">
        <v>129</v>
      </c>
      <c r="F351" s="94" t="s">
        <v>740</v>
      </c>
      <c r="G351" s="93" t="s">
        <v>741</v>
      </c>
      <c r="H351" s="94">
        <v>5</v>
      </c>
      <c r="I351" s="44"/>
      <c r="J351" s="44"/>
      <c r="K351" s="95">
        <v>9</v>
      </c>
      <c r="L351" s="49">
        <v>0.01</v>
      </c>
      <c r="M351" s="87">
        <f t="shared" si="8"/>
        <v>45</v>
      </c>
      <c r="N351" s="44" t="s">
        <v>519</v>
      </c>
      <c r="O351" s="89">
        <v>45905</v>
      </c>
    </row>
    <row r="352" s="32" customFormat="1" ht="15" spans="1:15">
      <c r="A352" s="44">
        <v>126</v>
      </c>
      <c r="B352" s="44"/>
      <c r="C352" s="44"/>
      <c r="D352" s="44"/>
      <c r="E352" s="44" t="s">
        <v>129</v>
      </c>
      <c r="F352" s="94" t="s">
        <v>742</v>
      </c>
      <c r="G352" s="93" t="s">
        <v>743</v>
      </c>
      <c r="H352" s="94">
        <v>1</v>
      </c>
      <c r="I352" s="44"/>
      <c r="J352" s="44"/>
      <c r="K352" s="95">
        <v>3720</v>
      </c>
      <c r="L352" s="49">
        <v>0.01</v>
      </c>
      <c r="M352" s="87">
        <f t="shared" si="8"/>
        <v>3720</v>
      </c>
      <c r="N352" s="44" t="s">
        <v>519</v>
      </c>
      <c r="O352" s="91"/>
    </row>
    <row r="353" s="32" customFormat="1" ht="15" spans="1:15">
      <c r="A353" s="44">
        <v>127</v>
      </c>
      <c r="B353" s="44"/>
      <c r="C353" s="44"/>
      <c r="D353" s="44"/>
      <c r="E353" s="44" t="s">
        <v>129</v>
      </c>
      <c r="F353" s="94" t="s">
        <v>744</v>
      </c>
      <c r="G353" s="93" t="s">
        <v>745</v>
      </c>
      <c r="H353" s="94">
        <v>4</v>
      </c>
      <c r="I353" s="44"/>
      <c r="J353" s="44"/>
      <c r="K353" s="95">
        <v>17.5</v>
      </c>
      <c r="L353" s="49">
        <v>0.01</v>
      </c>
      <c r="M353" s="87">
        <f t="shared" si="8"/>
        <v>70</v>
      </c>
      <c r="N353" s="44" t="s">
        <v>519</v>
      </c>
      <c r="O353" s="91"/>
    </row>
    <row r="354" s="32" customFormat="1" ht="15" spans="1:15">
      <c r="A354" s="44">
        <v>128</v>
      </c>
      <c r="B354" s="44"/>
      <c r="C354" s="44"/>
      <c r="D354" s="44"/>
      <c r="E354" s="44" t="s">
        <v>129</v>
      </c>
      <c r="F354" s="94" t="s">
        <v>744</v>
      </c>
      <c r="G354" s="93" t="s">
        <v>746</v>
      </c>
      <c r="H354" s="94">
        <v>14</v>
      </c>
      <c r="I354" s="44"/>
      <c r="J354" s="44"/>
      <c r="K354" s="95">
        <v>10.6</v>
      </c>
      <c r="L354" s="49">
        <v>0.01</v>
      </c>
      <c r="M354" s="87">
        <f t="shared" si="8"/>
        <v>148.4</v>
      </c>
      <c r="N354" s="44" t="s">
        <v>519</v>
      </c>
      <c r="O354" s="91"/>
    </row>
    <row r="355" s="32" customFormat="1" ht="15" spans="1:15">
      <c r="A355" s="44">
        <v>129</v>
      </c>
      <c r="B355" s="44"/>
      <c r="C355" s="44"/>
      <c r="D355" s="44"/>
      <c r="E355" s="44" t="s">
        <v>129</v>
      </c>
      <c r="F355" s="94" t="s">
        <v>744</v>
      </c>
      <c r="G355" s="93" t="s">
        <v>747</v>
      </c>
      <c r="H355" s="94">
        <v>8</v>
      </c>
      <c r="I355" s="44"/>
      <c r="J355" s="44"/>
      <c r="K355" s="95">
        <v>9.8</v>
      </c>
      <c r="L355" s="49">
        <v>0.01</v>
      </c>
      <c r="M355" s="87">
        <f t="shared" si="8"/>
        <v>78.4</v>
      </c>
      <c r="N355" s="44" t="s">
        <v>519</v>
      </c>
      <c r="O355" s="91"/>
    </row>
    <row r="356" s="32" customFormat="1" ht="15" spans="1:15">
      <c r="A356" s="44">
        <v>130</v>
      </c>
      <c r="B356" s="44"/>
      <c r="C356" s="44"/>
      <c r="D356" s="44"/>
      <c r="E356" s="44" t="s">
        <v>129</v>
      </c>
      <c r="F356" s="94" t="s">
        <v>748</v>
      </c>
      <c r="G356" s="93"/>
      <c r="H356" s="94">
        <v>88</v>
      </c>
      <c r="I356" s="44"/>
      <c r="J356" s="44"/>
      <c r="K356" s="95">
        <v>0.9</v>
      </c>
      <c r="L356" s="49">
        <v>0.01</v>
      </c>
      <c r="M356" s="87">
        <f t="shared" ref="M356:M419" si="9">H356*K356</f>
        <v>79.2</v>
      </c>
      <c r="N356" s="44" t="s">
        <v>519</v>
      </c>
      <c r="O356" s="91"/>
    </row>
    <row r="357" s="32" customFormat="1" ht="15" spans="1:15">
      <c r="A357" s="44">
        <v>131</v>
      </c>
      <c r="B357" s="44"/>
      <c r="C357" s="44"/>
      <c r="D357" s="44"/>
      <c r="E357" s="44" t="s">
        <v>129</v>
      </c>
      <c r="F357" s="94" t="s">
        <v>749</v>
      </c>
      <c r="G357" s="93" t="s">
        <v>750</v>
      </c>
      <c r="H357" s="94">
        <v>1</v>
      </c>
      <c r="I357" s="44"/>
      <c r="J357" s="44"/>
      <c r="K357" s="95">
        <v>110</v>
      </c>
      <c r="L357" s="49">
        <v>0.01</v>
      </c>
      <c r="M357" s="87">
        <f t="shared" si="9"/>
        <v>110</v>
      </c>
      <c r="N357" s="44" t="s">
        <v>519</v>
      </c>
      <c r="O357" s="91"/>
    </row>
    <row r="358" s="32" customFormat="1" ht="15" spans="1:15">
      <c r="A358" s="44">
        <v>132</v>
      </c>
      <c r="B358" s="44"/>
      <c r="C358" s="44"/>
      <c r="D358" s="44"/>
      <c r="E358" s="44" t="s">
        <v>129</v>
      </c>
      <c r="F358" s="94" t="s">
        <v>751</v>
      </c>
      <c r="G358" s="93"/>
      <c r="H358" s="94">
        <v>1</v>
      </c>
      <c r="I358" s="44"/>
      <c r="J358" s="44"/>
      <c r="K358" s="95">
        <v>35</v>
      </c>
      <c r="L358" s="49">
        <v>0.01</v>
      </c>
      <c r="M358" s="87">
        <f t="shared" si="9"/>
        <v>35</v>
      </c>
      <c r="N358" s="44" t="s">
        <v>519</v>
      </c>
      <c r="O358" s="91"/>
    </row>
    <row r="359" s="32" customFormat="1" ht="15" spans="1:15">
      <c r="A359" s="44">
        <v>133</v>
      </c>
      <c r="B359" s="44"/>
      <c r="C359" s="44"/>
      <c r="D359" s="44"/>
      <c r="E359" s="44" t="s">
        <v>129</v>
      </c>
      <c r="F359" s="94" t="s">
        <v>752</v>
      </c>
      <c r="G359" s="93" t="s">
        <v>753</v>
      </c>
      <c r="H359" s="94">
        <v>1</v>
      </c>
      <c r="I359" s="44"/>
      <c r="J359" s="44"/>
      <c r="K359" s="95">
        <v>720</v>
      </c>
      <c r="L359" s="49">
        <v>0.01</v>
      </c>
      <c r="M359" s="87">
        <f t="shared" si="9"/>
        <v>720</v>
      </c>
      <c r="N359" s="44" t="s">
        <v>519</v>
      </c>
      <c r="O359" s="91"/>
    </row>
    <row r="360" s="32" customFormat="1" ht="15" spans="1:15">
      <c r="A360" s="44">
        <v>134</v>
      </c>
      <c r="B360" s="44"/>
      <c r="C360" s="44"/>
      <c r="D360" s="44"/>
      <c r="E360" s="44" t="s">
        <v>129</v>
      </c>
      <c r="F360" s="94" t="s">
        <v>754</v>
      </c>
      <c r="G360" s="93" t="s">
        <v>755</v>
      </c>
      <c r="H360" s="94">
        <v>2</v>
      </c>
      <c r="I360" s="44"/>
      <c r="J360" s="44"/>
      <c r="K360" s="95">
        <v>55</v>
      </c>
      <c r="L360" s="49">
        <v>0.01</v>
      </c>
      <c r="M360" s="87">
        <f t="shared" si="9"/>
        <v>110</v>
      </c>
      <c r="N360" s="44" t="s">
        <v>519</v>
      </c>
      <c r="O360" s="91"/>
    </row>
    <row r="361" s="32" customFormat="1" ht="15" spans="1:15">
      <c r="A361" s="44">
        <v>135</v>
      </c>
      <c r="B361" s="44"/>
      <c r="C361" s="44"/>
      <c r="D361" s="44"/>
      <c r="E361" s="44" t="s">
        <v>129</v>
      </c>
      <c r="F361" s="94" t="s">
        <v>756</v>
      </c>
      <c r="G361" s="93" t="s">
        <v>757</v>
      </c>
      <c r="H361" s="94">
        <v>1</v>
      </c>
      <c r="I361" s="44"/>
      <c r="J361" s="44"/>
      <c r="K361" s="95">
        <v>26.5</v>
      </c>
      <c r="L361" s="49">
        <v>0.01</v>
      </c>
      <c r="M361" s="87">
        <f t="shared" si="9"/>
        <v>26.5</v>
      </c>
      <c r="N361" s="44" t="s">
        <v>519</v>
      </c>
      <c r="O361" s="91"/>
    </row>
    <row r="362" s="32" customFormat="1" ht="15" spans="1:15">
      <c r="A362" s="44">
        <v>136</v>
      </c>
      <c r="B362" s="44"/>
      <c r="C362" s="44"/>
      <c r="D362" s="44"/>
      <c r="E362" s="44" t="s">
        <v>129</v>
      </c>
      <c r="F362" s="94" t="s">
        <v>758</v>
      </c>
      <c r="G362" s="93" t="s">
        <v>757</v>
      </c>
      <c r="H362" s="94">
        <v>1</v>
      </c>
      <c r="I362" s="44"/>
      <c r="J362" s="44"/>
      <c r="K362" s="95">
        <v>20.5</v>
      </c>
      <c r="L362" s="49">
        <v>0.01</v>
      </c>
      <c r="M362" s="87">
        <f t="shared" si="9"/>
        <v>20.5</v>
      </c>
      <c r="N362" s="44" t="s">
        <v>519</v>
      </c>
      <c r="O362" s="91"/>
    </row>
    <row r="363" s="32" customFormat="1" ht="15" spans="1:15">
      <c r="A363" s="44">
        <v>137</v>
      </c>
      <c r="B363" s="44"/>
      <c r="C363" s="44"/>
      <c r="D363" s="44"/>
      <c r="E363" s="44" t="s">
        <v>129</v>
      </c>
      <c r="F363" s="94" t="s">
        <v>759</v>
      </c>
      <c r="G363" s="93" t="s">
        <v>760</v>
      </c>
      <c r="H363" s="94">
        <v>30</v>
      </c>
      <c r="I363" s="44"/>
      <c r="J363" s="44"/>
      <c r="K363" s="95">
        <v>2.7</v>
      </c>
      <c r="L363" s="49">
        <v>0.01</v>
      </c>
      <c r="M363" s="87">
        <f t="shared" si="9"/>
        <v>81</v>
      </c>
      <c r="N363" s="44" t="s">
        <v>519</v>
      </c>
      <c r="O363" s="91"/>
    </row>
    <row r="364" s="32" customFormat="1" ht="15" spans="1:15">
      <c r="A364" s="44">
        <v>138</v>
      </c>
      <c r="B364" s="44"/>
      <c r="C364" s="44"/>
      <c r="D364" s="44"/>
      <c r="E364" s="44" t="s">
        <v>129</v>
      </c>
      <c r="F364" s="94" t="s">
        <v>761</v>
      </c>
      <c r="G364" s="93" t="s">
        <v>762</v>
      </c>
      <c r="H364" s="94">
        <v>12</v>
      </c>
      <c r="I364" s="44"/>
      <c r="J364" s="44"/>
      <c r="K364" s="95">
        <v>48</v>
      </c>
      <c r="L364" s="49">
        <v>0.01</v>
      </c>
      <c r="M364" s="87">
        <f t="shared" si="9"/>
        <v>576</v>
      </c>
      <c r="N364" s="44" t="s">
        <v>519</v>
      </c>
      <c r="O364" s="90"/>
    </row>
    <row r="365" s="32" customFormat="1" ht="15" spans="1:15">
      <c r="A365" s="44">
        <v>139</v>
      </c>
      <c r="B365" s="44"/>
      <c r="C365" s="44"/>
      <c r="D365" s="44"/>
      <c r="E365" s="44" t="s">
        <v>129</v>
      </c>
      <c r="F365" s="94" t="s">
        <v>651</v>
      </c>
      <c r="G365" s="93" t="s">
        <v>763</v>
      </c>
      <c r="H365" s="94">
        <v>1</v>
      </c>
      <c r="I365" s="44"/>
      <c r="J365" s="44"/>
      <c r="K365" s="95">
        <v>449</v>
      </c>
      <c r="L365" s="49">
        <v>0.01</v>
      </c>
      <c r="M365" s="87">
        <f t="shared" si="9"/>
        <v>449</v>
      </c>
      <c r="N365" s="44" t="s">
        <v>519</v>
      </c>
      <c r="O365" s="89">
        <v>45909</v>
      </c>
    </row>
    <row r="366" s="32" customFormat="1" ht="15" spans="1:15">
      <c r="A366" s="44">
        <v>140</v>
      </c>
      <c r="B366" s="44"/>
      <c r="C366" s="44"/>
      <c r="D366" s="44"/>
      <c r="E366" s="44" t="s">
        <v>129</v>
      </c>
      <c r="F366" s="94" t="s">
        <v>764</v>
      </c>
      <c r="G366" s="93" t="s">
        <v>765</v>
      </c>
      <c r="H366" s="94">
        <v>50</v>
      </c>
      <c r="I366" s="44"/>
      <c r="J366" s="44"/>
      <c r="K366" s="95">
        <v>2.7</v>
      </c>
      <c r="L366" s="49">
        <v>0.01</v>
      </c>
      <c r="M366" s="87">
        <f t="shared" si="9"/>
        <v>135</v>
      </c>
      <c r="N366" s="44" t="s">
        <v>519</v>
      </c>
      <c r="O366" s="91"/>
    </row>
    <row r="367" s="32" customFormat="1" ht="15" spans="1:15">
      <c r="A367" s="44">
        <v>141</v>
      </c>
      <c r="B367" s="44"/>
      <c r="C367" s="44"/>
      <c r="D367" s="44"/>
      <c r="E367" s="44" t="s">
        <v>129</v>
      </c>
      <c r="F367" s="94" t="s">
        <v>766</v>
      </c>
      <c r="G367" s="93" t="s">
        <v>767</v>
      </c>
      <c r="H367" s="94">
        <v>1</v>
      </c>
      <c r="I367" s="44"/>
      <c r="J367" s="44"/>
      <c r="K367" s="95">
        <v>88</v>
      </c>
      <c r="L367" s="49">
        <v>0.01</v>
      </c>
      <c r="M367" s="87">
        <f t="shared" si="9"/>
        <v>88</v>
      </c>
      <c r="N367" s="44" t="s">
        <v>519</v>
      </c>
      <c r="O367" s="91"/>
    </row>
    <row r="368" s="32" customFormat="1" ht="15" spans="1:15">
      <c r="A368" s="44">
        <v>142</v>
      </c>
      <c r="B368" s="44"/>
      <c r="C368" s="44"/>
      <c r="D368" s="44"/>
      <c r="E368" s="44" t="s">
        <v>129</v>
      </c>
      <c r="F368" s="94" t="s">
        <v>768</v>
      </c>
      <c r="G368" s="93" t="s">
        <v>769</v>
      </c>
      <c r="H368" s="94">
        <v>1</v>
      </c>
      <c r="I368" s="44"/>
      <c r="J368" s="44"/>
      <c r="K368" s="95">
        <v>20</v>
      </c>
      <c r="L368" s="49">
        <v>0.01</v>
      </c>
      <c r="M368" s="87">
        <f t="shared" si="9"/>
        <v>20</v>
      </c>
      <c r="N368" s="44" t="s">
        <v>519</v>
      </c>
      <c r="O368" s="91"/>
    </row>
    <row r="369" s="32" customFormat="1" ht="15" spans="1:15">
      <c r="A369" s="44">
        <v>143</v>
      </c>
      <c r="B369" s="44"/>
      <c r="C369" s="44"/>
      <c r="D369" s="44"/>
      <c r="E369" s="44" t="s">
        <v>129</v>
      </c>
      <c r="F369" s="94" t="s">
        <v>770</v>
      </c>
      <c r="G369" s="93" t="s">
        <v>771</v>
      </c>
      <c r="H369" s="94">
        <v>1</v>
      </c>
      <c r="I369" s="44"/>
      <c r="J369" s="44"/>
      <c r="K369" s="95">
        <v>15</v>
      </c>
      <c r="L369" s="49">
        <v>0.01</v>
      </c>
      <c r="M369" s="87">
        <f t="shared" si="9"/>
        <v>15</v>
      </c>
      <c r="N369" s="44" t="s">
        <v>519</v>
      </c>
      <c r="O369" s="90"/>
    </row>
    <row r="370" s="32" customFormat="1" ht="15" spans="1:15">
      <c r="A370" s="44">
        <v>144</v>
      </c>
      <c r="B370" s="44"/>
      <c r="C370" s="44"/>
      <c r="D370" s="44"/>
      <c r="E370" s="44" t="s">
        <v>129</v>
      </c>
      <c r="F370" s="94" t="s">
        <v>772</v>
      </c>
      <c r="G370" s="93" t="s">
        <v>773</v>
      </c>
      <c r="H370" s="94">
        <v>1</v>
      </c>
      <c r="I370" s="44"/>
      <c r="J370" s="44"/>
      <c r="K370" s="95">
        <v>268</v>
      </c>
      <c r="L370" s="49">
        <v>0.01</v>
      </c>
      <c r="M370" s="87">
        <f t="shared" si="9"/>
        <v>268</v>
      </c>
      <c r="N370" s="44" t="s">
        <v>519</v>
      </c>
      <c r="O370" s="89">
        <v>45910</v>
      </c>
    </row>
    <row r="371" s="32" customFormat="1" ht="15" spans="1:15">
      <c r="A371" s="44">
        <v>145</v>
      </c>
      <c r="B371" s="44"/>
      <c r="C371" s="44"/>
      <c r="D371" s="44"/>
      <c r="E371" s="44" t="s">
        <v>129</v>
      </c>
      <c r="F371" s="94" t="s">
        <v>774</v>
      </c>
      <c r="G371" s="93" t="s">
        <v>775</v>
      </c>
      <c r="H371" s="94">
        <v>3</v>
      </c>
      <c r="I371" s="44"/>
      <c r="J371" s="44"/>
      <c r="K371" s="95">
        <v>10</v>
      </c>
      <c r="L371" s="49">
        <v>0.01</v>
      </c>
      <c r="M371" s="87">
        <f t="shared" si="9"/>
        <v>30</v>
      </c>
      <c r="N371" s="44" t="s">
        <v>519</v>
      </c>
      <c r="O371" s="91"/>
    </row>
    <row r="372" s="32" customFormat="1" ht="15" spans="1:15">
      <c r="A372" s="44">
        <v>146</v>
      </c>
      <c r="B372" s="44"/>
      <c r="C372" s="44"/>
      <c r="D372" s="44"/>
      <c r="E372" s="44" t="s">
        <v>129</v>
      </c>
      <c r="F372" s="94" t="s">
        <v>776</v>
      </c>
      <c r="G372" s="93" t="s">
        <v>777</v>
      </c>
      <c r="H372" s="94">
        <v>1</v>
      </c>
      <c r="I372" s="44"/>
      <c r="J372" s="44"/>
      <c r="K372" s="95">
        <v>50</v>
      </c>
      <c r="L372" s="49">
        <v>0.01</v>
      </c>
      <c r="M372" s="87">
        <f t="shared" si="9"/>
        <v>50</v>
      </c>
      <c r="N372" s="44" t="s">
        <v>519</v>
      </c>
      <c r="O372" s="91"/>
    </row>
    <row r="373" s="32" customFormat="1" ht="15" spans="1:15">
      <c r="A373" s="44">
        <v>147</v>
      </c>
      <c r="B373" s="44"/>
      <c r="C373" s="44"/>
      <c r="D373" s="44"/>
      <c r="E373" s="44" t="s">
        <v>129</v>
      </c>
      <c r="F373" s="94" t="s">
        <v>778</v>
      </c>
      <c r="G373" s="93"/>
      <c r="H373" s="94">
        <v>7</v>
      </c>
      <c r="I373" s="44"/>
      <c r="J373" s="44"/>
      <c r="K373" s="95">
        <v>8</v>
      </c>
      <c r="L373" s="49">
        <v>0.01</v>
      </c>
      <c r="M373" s="87">
        <f t="shared" si="9"/>
        <v>56</v>
      </c>
      <c r="N373" s="44" t="s">
        <v>519</v>
      </c>
      <c r="O373" s="91"/>
    </row>
    <row r="374" s="32" customFormat="1" ht="15" spans="1:15">
      <c r="A374" s="44">
        <v>148</v>
      </c>
      <c r="B374" s="44"/>
      <c r="C374" s="44"/>
      <c r="D374" s="44"/>
      <c r="E374" s="44" t="s">
        <v>129</v>
      </c>
      <c r="F374" s="94" t="s">
        <v>779</v>
      </c>
      <c r="G374" s="93" t="s">
        <v>780</v>
      </c>
      <c r="H374" s="94">
        <v>1</v>
      </c>
      <c r="I374" s="44"/>
      <c r="J374" s="44"/>
      <c r="K374" s="95">
        <v>6.5</v>
      </c>
      <c r="L374" s="49">
        <v>0.01</v>
      </c>
      <c r="M374" s="87">
        <f t="shared" si="9"/>
        <v>6.5</v>
      </c>
      <c r="N374" s="44" t="s">
        <v>519</v>
      </c>
      <c r="O374" s="90"/>
    </row>
    <row r="375" s="32" customFormat="1" ht="15" spans="1:15">
      <c r="A375" s="44">
        <v>149</v>
      </c>
      <c r="B375" s="44"/>
      <c r="C375" s="44"/>
      <c r="D375" s="44"/>
      <c r="E375" s="44" t="s">
        <v>129</v>
      </c>
      <c r="F375" s="94" t="s">
        <v>781</v>
      </c>
      <c r="G375" s="93" t="s">
        <v>782</v>
      </c>
      <c r="H375" s="99">
        <v>1</v>
      </c>
      <c r="I375" s="44"/>
      <c r="J375" s="44"/>
      <c r="K375" s="95">
        <v>12</v>
      </c>
      <c r="L375" s="49">
        <v>0.01</v>
      </c>
      <c r="M375" s="87">
        <f t="shared" si="9"/>
        <v>12</v>
      </c>
      <c r="N375" s="44" t="s">
        <v>519</v>
      </c>
      <c r="O375" s="89">
        <v>45912</v>
      </c>
    </row>
    <row r="376" s="32" customFormat="1" ht="15" spans="1:15">
      <c r="A376" s="44">
        <v>150</v>
      </c>
      <c r="B376" s="44"/>
      <c r="C376" s="44"/>
      <c r="D376" s="44"/>
      <c r="E376" s="44" t="s">
        <v>129</v>
      </c>
      <c r="F376" s="94" t="s">
        <v>783</v>
      </c>
      <c r="G376" s="93" t="s">
        <v>784</v>
      </c>
      <c r="H376" s="94">
        <v>10</v>
      </c>
      <c r="I376" s="44"/>
      <c r="J376" s="44"/>
      <c r="K376" s="95">
        <v>14.5</v>
      </c>
      <c r="L376" s="49">
        <v>0.01</v>
      </c>
      <c r="M376" s="87">
        <f t="shared" si="9"/>
        <v>145</v>
      </c>
      <c r="N376" s="44" t="s">
        <v>519</v>
      </c>
      <c r="O376" s="91"/>
    </row>
    <row r="377" s="32" customFormat="1" ht="15" spans="1:15">
      <c r="A377" s="44">
        <v>151</v>
      </c>
      <c r="B377" s="44"/>
      <c r="C377" s="44"/>
      <c r="D377" s="44"/>
      <c r="E377" s="44" t="s">
        <v>129</v>
      </c>
      <c r="F377" s="94" t="s">
        <v>785</v>
      </c>
      <c r="G377" s="93" t="s">
        <v>786</v>
      </c>
      <c r="H377" s="94">
        <v>1</v>
      </c>
      <c r="I377" s="44"/>
      <c r="J377" s="44"/>
      <c r="K377" s="95">
        <v>12.5</v>
      </c>
      <c r="L377" s="49">
        <v>0.01</v>
      </c>
      <c r="M377" s="87">
        <f t="shared" si="9"/>
        <v>12.5</v>
      </c>
      <c r="N377" s="44" t="s">
        <v>519</v>
      </c>
      <c r="O377" s="91"/>
    </row>
    <row r="378" s="32" customFormat="1" ht="15" spans="1:15">
      <c r="A378" s="44">
        <v>152</v>
      </c>
      <c r="B378" s="44"/>
      <c r="C378" s="44"/>
      <c r="D378" s="44"/>
      <c r="E378" s="44" t="s">
        <v>129</v>
      </c>
      <c r="F378" s="94" t="s">
        <v>787</v>
      </c>
      <c r="G378" s="93" t="s">
        <v>788</v>
      </c>
      <c r="H378" s="94">
        <v>1</v>
      </c>
      <c r="I378" s="44"/>
      <c r="J378" s="44"/>
      <c r="K378" s="95">
        <v>21</v>
      </c>
      <c r="L378" s="49">
        <v>0.01</v>
      </c>
      <c r="M378" s="87">
        <f t="shared" si="9"/>
        <v>21</v>
      </c>
      <c r="N378" s="44" t="s">
        <v>519</v>
      </c>
      <c r="O378" s="91"/>
    </row>
    <row r="379" s="32" customFormat="1" ht="15" spans="1:15">
      <c r="A379" s="44">
        <v>153</v>
      </c>
      <c r="B379" s="44"/>
      <c r="C379" s="44"/>
      <c r="D379" s="44"/>
      <c r="E379" s="44" t="s">
        <v>129</v>
      </c>
      <c r="F379" s="94" t="s">
        <v>789</v>
      </c>
      <c r="G379" s="93" t="s">
        <v>790</v>
      </c>
      <c r="H379" s="94">
        <v>1</v>
      </c>
      <c r="I379" s="44"/>
      <c r="J379" s="44"/>
      <c r="K379" s="95">
        <v>550</v>
      </c>
      <c r="L379" s="49">
        <v>0.01</v>
      </c>
      <c r="M379" s="87">
        <f t="shared" si="9"/>
        <v>550</v>
      </c>
      <c r="N379" s="44" t="s">
        <v>519</v>
      </c>
      <c r="O379" s="91"/>
    </row>
    <row r="380" s="32" customFormat="1" ht="15" spans="1:15">
      <c r="A380" s="44">
        <v>154</v>
      </c>
      <c r="B380" s="44"/>
      <c r="C380" s="44"/>
      <c r="D380" s="44"/>
      <c r="E380" s="44" t="s">
        <v>129</v>
      </c>
      <c r="F380" s="94" t="s">
        <v>609</v>
      </c>
      <c r="G380" s="93" t="s">
        <v>791</v>
      </c>
      <c r="H380" s="94">
        <v>1</v>
      </c>
      <c r="I380" s="44"/>
      <c r="J380" s="44"/>
      <c r="K380" s="95">
        <v>320</v>
      </c>
      <c r="L380" s="49">
        <v>0.01</v>
      </c>
      <c r="M380" s="87">
        <f t="shared" si="9"/>
        <v>320</v>
      </c>
      <c r="N380" s="44" t="s">
        <v>519</v>
      </c>
      <c r="O380" s="91"/>
    </row>
    <row r="381" s="32" customFormat="1" ht="15" spans="1:15">
      <c r="A381" s="44">
        <v>155</v>
      </c>
      <c r="B381" s="44"/>
      <c r="C381" s="44"/>
      <c r="D381" s="44"/>
      <c r="E381" s="44" t="s">
        <v>129</v>
      </c>
      <c r="F381" s="94" t="s">
        <v>792</v>
      </c>
      <c r="G381" s="93" t="s">
        <v>793</v>
      </c>
      <c r="H381" s="94">
        <v>1</v>
      </c>
      <c r="I381" s="44"/>
      <c r="J381" s="44"/>
      <c r="K381" s="95">
        <v>7</v>
      </c>
      <c r="L381" s="49">
        <v>0.01</v>
      </c>
      <c r="M381" s="87">
        <f t="shared" si="9"/>
        <v>7</v>
      </c>
      <c r="N381" s="44" t="s">
        <v>519</v>
      </c>
      <c r="O381" s="91"/>
    </row>
    <row r="382" s="32" customFormat="1" ht="15" spans="1:15">
      <c r="A382" s="44">
        <v>156</v>
      </c>
      <c r="B382" s="44"/>
      <c r="C382" s="44"/>
      <c r="D382" s="44"/>
      <c r="E382" s="44" t="s">
        <v>129</v>
      </c>
      <c r="F382" s="94" t="s">
        <v>794</v>
      </c>
      <c r="G382" s="93" t="s">
        <v>795</v>
      </c>
      <c r="H382" s="94">
        <v>30</v>
      </c>
      <c r="I382" s="44"/>
      <c r="J382" s="44"/>
      <c r="K382" s="95">
        <v>1.5</v>
      </c>
      <c r="L382" s="49">
        <v>0.01</v>
      </c>
      <c r="M382" s="87">
        <f t="shared" si="9"/>
        <v>45</v>
      </c>
      <c r="N382" s="44" t="s">
        <v>519</v>
      </c>
      <c r="O382" s="91"/>
    </row>
    <row r="383" s="32" customFormat="1" ht="15" spans="1:15">
      <c r="A383" s="44">
        <v>157</v>
      </c>
      <c r="B383" s="44"/>
      <c r="C383" s="44"/>
      <c r="D383" s="44"/>
      <c r="E383" s="44" t="s">
        <v>129</v>
      </c>
      <c r="F383" s="94" t="s">
        <v>517</v>
      </c>
      <c r="G383" s="93" t="s">
        <v>796</v>
      </c>
      <c r="H383" s="94">
        <v>1</v>
      </c>
      <c r="I383" s="44"/>
      <c r="J383" s="44"/>
      <c r="K383" s="95">
        <v>6500</v>
      </c>
      <c r="L383" s="49">
        <v>0.01</v>
      </c>
      <c r="M383" s="87">
        <f t="shared" si="9"/>
        <v>6500</v>
      </c>
      <c r="N383" s="44" t="s">
        <v>519</v>
      </c>
      <c r="O383" s="90"/>
    </row>
    <row r="384" s="32" customFormat="1" ht="15" spans="1:15">
      <c r="A384" s="44">
        <v>158</v>
      </c>
      <c r="B384" s="44"/>
      <c r="C384" s="44"/>
      <c r="D384" s="44"/>
      <c r="E384" s="44" t="s">
        <v>129</v>
      </c>
      <c r="F384" s="94" t="s">
        <v>602</v>
      </c>
      <c r="G384" s="93" t="s">
        <v>797</v>
      </c>
      <c r="H384" s="94">
        <v>1</v>
      </c>
      <c r="I384" s="44"/>
      <c r="J384" s="44"/>
      <c r="K384" s="95">
        <v>24</v>
      </c>
      <c r="L384" s="49">
        <v>0.01</v>
      </c>
      <c r="M384" s="87">
        <f t="shared" si="9"/>
        <v>24</v>
      </c>
      <c r="N384" s="44" t="s">
        <v>519</v>
      </c>
      <c r="O384" s="89">
        <v>45915</v>
      </c>
    </row>
    <row r="385" s="32" customFormat="1" ht="15" spans="1:15">
      <c r="A385" s="44">
        <v>159</v>
      </c>
      <c r="B385" s="44"/>
      <c r="C385" s="44"/>
      <c r="D385" s="44"/>
      <c r="E385" s="44" t="s">
        <v>129</v>
      </c>
      <c r="F385" s="94" t="s">
        <v>756</v>
      </c>
      <c r="G385" s="93" t="s">
        <v>798</v>
      </c>
      <c r="H385" s="94">
        <v>5</v>
      </c>
      <c r="I385" s="44"/>
      <c r="J385" s="44"/>
      <c r="K385" s="95">
        <v>26.5</v>
      </c>
      <c r="L385" s="49">
        <v>0.01</v>
      </c>
      <c r="M385" s="87">
        <f t="shared" si="9"/>
        <v>132.5</v>
      </c>
      <c r="N385" s="44" t="s">
        <v>519</v>
      </c>
      <c r="O385" s="91"/>
    </row>
    <row r="386" s="32" customFormat="1" ht="15" spans="1:15">
      <c r="A386" s="44">
        <v>160</v>
      </c>
      <c r="B386" s="44"/>
      <c r="C386" s="44"/>
      <c r="D386" s="44"/>
      <c r="E386" s="44" t="s">
        <v>129</v>
      </c>
      <c r="F386" s="94" t="s">
        <v>799</v>
      </c>
      <c r="G386" s="93" t="s">
        <v>800</v>
      </c>
      <c r="H386" s="94">
        <v>1</v>
      </c>
      <c r="I386" s="44"/>
      <c r="J386" s="44"/>
      <c r="K386" s="95">
        <v>19</v>
      </c>
      <c r="L386" s="49">
        <v>0.01</v>
      </c>
      <c r="M386" s="87">
        <f t="shared" si="9"/>
        <v>19</v>
      </c>
      <c r="N386" s="44" t="s">
        <v>519</v>
      </c>
      <c r="O386" s="91"/>
    </row>
    <row r="387" s="32" customFormat="1" ht="15" spans="1:15">
      <c r="A387" s="44">
        <v>161</v>
      </c>
      <c r="B387" s="44"/>
      <c r="C387" s="44"/>
      <c r="D387" s="44"/>
      <c r="E387" s="44" t="s">
        <v>129</v>
      </c>
      <c r="F387" s="94" t="s">
        <v>801</v>
      </c>
      <c r="G387" s="93" t="s">
        <v>802</v>
      </c>
      <c r="H387" s="94">
        <v>1</v>
      </c>
      <c r="I387" s="44"/>
      <c r="J387" s="44"/>
      <c r="K387" s="95">
        <v>10</v>
      </c>
      <c r="L387" s="49">
        <v>0.01</v>
      </c>
      <c r="M387" s="87">
        <f t="shared" si="9"/>
        <v>10</v>
      </c>
      <c r="N387" s="44" t="s">
        <v>519</v>
      </c>
      <c r="O387" s="91"/>
    </row>
    <row r="388" s="32" customFormat="1" ht="15" spans="1:15">
      <c r="A388" s="44">
        <v>162</v>
      </c>
      <c r="B388" s="44"/>
      <c r="C388" s="44"/>
      <c r="D388" s="44"/>
      <c r="E388" s="44" t="s">
        <v>129</v>
      </c>
      <c r="F388" s="94" t="s">
        <v>638</v>
      </c>
      <c r="G388" s="93" t="s">
        <v>803</v>
      </c>
      <c r="H388" s="94">
        <v>5</v>
      </c>
      <c r="I388" s="44"/>
      <c r="J388" s="44"/>
      <c r="K388" s="95">
        <v>0</v>
      </c>
      <c r="L388" s="49">
        <v>0.01</v>
      </c>
      <c r="M388" s="87">
        <f t="shared" si="9"/>
        <v>0</v>
      </c>
      <c r="N388" s="44" t="s">
        <v>519</v>
      </c>
      <c r="O388" s="90"/>
    </row>
    <row r="389" s="32" customFormat="1" ht="15" spans="1:15">
      <c r="A389" s="44">
        <v>163</v>
      </c>
      <c r="B389" s="44"/>
      <c r="C389" s="44"/>
      <c r="D389" s="44"/>
      <c r="E389" s="44" t="s">
        <v>129</v>
      </c>
      <c r="F389" s="94" t="s">
        <v>804</v>
      </c>
      <c r="G389" s="93" t="s">
        <v>805</v>
      </c>
      <c r="H389" s="94">
        <v>2</v>
      </c>
      <c r="I389" s="44"/>
      <c r="J389" s="44"/>
      <c r="K389" s="95">
        <v>19</v>
      </c>
      <c r="L389" s="49">
        <v>0.01</v>
      </c>
      <c r="M389" s="87">
        <f t="shared" si="9"/>
        <v>38</v>
      </c>
      <c r="N389" s="44" t="s">
        <v>519</v>
      </c>
      <c r="O389" s="89">
        <v>45917</v>
      </c>
    </row>
    <row r="390" s="32" customFormat="1" ht="15" spans="1:15">
      <c r="A390" s="44">
        <v>164</v>
      </c>
      <c r="B390" s="44"/>
      <c r="C390" s="44"/>
      <c r="D390" s="44"/>
      <c r="E390" s="44" t="s">
        <v>129</v>
      </c>
      <c r="F390" s="94" t="s">
        <v>806</v>
      </c>
      <c r="G390" s="93"/>
      <c r="H390" s="94">
        <v>10</v>
      </c>
      <c r="I390" s="44"/>
      <c r="J390" s="44"/>
      <c r="K390" s="95">
        <v>3.85</v>
      </c>
      <c r="L390" s="49">
        <v>0.01</v>
      </c>
      <c r="M390" s="87">
        <f t="shared" si="9"/>
        <v>38.5</v>
      </c>
      <c r="N390" s="44" t="s">
        <v>519</v>
      </c>
      <c r="O390" s="91"/>
    </row>
    <row r="391" s="32" customFormat="1" ht="15" spans="1:15">
      <c r="A391" s="44">
        <v>165</v>
      </c>
      <c r="B391" s="44"/>
      <c r="C391" s="44"/>
      <c r="D391" s="44"/>
      <c r="E391" s="44" t="s">
        <v>129</v>
      </c>
      <c r="F391" s="94" t="s">
        <v>807</v>
      </c>
      <c r="G391" s="93"/>
      <c r="H391" s="94">
        <v>50</v>
      </c>
      <c r="I391" s="44"/>
      <c r="J391" s="44"/>
      <c r="K391" s="95">
        <v>2.5</v>
      </c>
      <c r="L391" s="49">
        <v>0.01</v>
      </c>
      <c r="M391" s="87">
        <f t="shared" si="9"/>
        <v>125</v>
      </c>
      <c r="N391" s="44" t="s">
        <v>519</v>
      </c>
      <c r="O391" s="91"/>
    </row>
    <row r="392" s="32" customFormat="1" ht="15" spans="1:15">
      <c r="A392" s="44">
        <v>166</v>
      </c>
      <c r="B392" s="44"/>
      <c r="C392" s="44"/>
      <c r="D392" s="44"/>
      <c r="E392" s="44" t="s">
        <v>129</v>
      </c>
      <c r="F392" s="94" t="s">
        <v>808</v>
      </c>
      <c r="G392" s="93" t="s">
        <v>809</v>
      </c>
      <c r="H392" s="94">
        <v>1</v>
      </c>
      <c r="I392" s="44"/>
      <c r="J392" s="44"/>
      <c r="K392" s="95">
        <v>14</v>
      </c>
      <c r="L392" s="49">
        <v>0.01</v>
      </c>
      <c r="M392" s="87">
        <f t="shared" si="9"/>
        <v>14</v>
      </c>
      <c r="N392" s="44" t="s">
        <v>519</v>
      </c>
      <c r="O392" s="91"/>
    </row>
    <row r="393" s="32" customFormat="1" ht="15" spans="1:15">
      <c r="A393" s="44">
        <v>167</v>
      </c>
      <c r="B393" s="44"/>
      <c r="C393" s="44"/>
      <c r="D393" s="44"/>
      <c r="E393" s="44" t="s">
        <v>129</v>
      </c>
      <c r="F393" s="94" t="s">
        <v>808</v>
      </c>
      <c r="G393" s="93" t="s">
        <v>810</v>
      </c>
      <c r="H393" s="94">
        <v>1</v>
      </c>
      <c r="I393" s="44"/>
      <c r="J393" s="44"/>
      <c r="K393" s="95">
        <v>15</v>
      </c>
      <c r="L393" s="49">
        <v>0.01</v>
      </c>
      <c r="M393" s="87">
        <f t="shared" si="9"/>
        <v>15</v>
      </c>
      <c r="N393" s="44" t="s">
        <v>519</v>
      </c>
      <c r="O393" s="91"/>
    </row>
    <row r="394" s="32" customFormat="1" ht="15" spans="1:15">
      <c r="A394" s="44">
        <v>168</v>
      </c>
      <c r="B394" s="44"/>
      <c r="C394" s="44"/>
      <c r="D394" s="44"/>
      <c r="E394" s="44" t="s">
        <v>129</v>
      </c>
      <c r="F394" s="94" t="s">
        <v>811</v>
      </c>
      <c r="G394" s="93"/>
      <c r="H394" s="94">
        <v>4</v>
      </c>
      <c r="I394" s="44"/>
      <c r="J394" s="44"/>
      <c r="K394" s="95">
        <v>11</v>
      </c>
      <c r="L394" s="49">
        <v>0.01</v>
      </c>
      <c r="M394" s="87">
        <f t="shared" si="9"/>
        <v>44</v>
      </c>
      <c r="N394" s="44" t="s">
        <v>519</v>
      </c>
      <c r="O394" s="90"/>
    </row>
    <row r="395" s="32" customFormat="1" ht="15" spans="1:15">
      <c r="A395" s="44">
        <v>169</v>
      </c>
      <c r="B395" s="44"/>
      <c r="C395" s="44"/>
      <c r="D395" s="44"/>
      <c r="E395" s="44" t="s">
        <v>129</v>
      </c>
      <c r="F395" s="94" t="s">
        <v>812</v>
      </c>
      <c r="G395" s="93" t="s">
        <v>813</v>
      </c>
      <c r="H395" s="94">
        <v>5</v>
      </c>
      <c r="I395" s="44"/>
      <c r="J395" s="44"/>
      <c r="K395" s="95">
        <v>51</v>
      </c>
      <c r="L395" s="49">
        <v>0.01</v>
      </c>
      <c r="M395" s="87">
        <f t="shared" si="9"/>
        <v>255</v>
      </c>
      <c r="N395" s="44" t="s">
        <v>519</v>
      </c>
      <c r="O395" s="89">
        <v>45919</v>
      </c>
    </row>
    <row r="396" s="32" customFormat="1" ht="15" spans="1:15">
      <c r="A396" s="44">
        <v>170</v>
      </c>
      <c r="B396" s="44"/>
      <c r="C396" s="44"/>
      <c r="D396" s="44"/>
      <c r="E396" s="44" t="s">
        <v>129</v>
      </c>
      <c r="F396" s="94" t="s">
        <v>814</v>
      </c>
      <c r="G396" s="93" t="s">
        <v>815</v>
      </c>
      <c r="H396" s="94">
        <v>1</v>
      </c>
      <c r="I396" s="44"/>
      <c r="J396" s="44"/>
      <c r="K396" s="95">
        <v>65</v>
      </c>
      <c r="L396" s="49">
        <v>0.01</v>
      </c>
      <c r="M396" s="87">
        <f t="shared" si="9"/>
        <v>65</v>
      </c>
      <c r="N396" s="44" t="s">
        <v>519</v>
      </c>
      <c r="O396" s="91"/>
    </row>
    <row r="397" s="32" customFormat="1" ht="15" spans="1:15">
      <c r="A397" s="44">
        <v>171</v>
      </c>
      <c r="B397" s="44"/>
      <c r="C397" s="44"/>
      <c r="D397" s="44"/>
      <c r="E397" s="44" t="s">
        <v>129</v>
      </c>
      <c r="F397" s="94" t="s">
        <v>816</v>
      </c>
      <c r="G397" s="93" t="s">
        <v>817</v>
      </c>
      <c r="H397" s="94">
        <v>3</v>
      </c>
      <c r="I397" s="44"/>
      <c r="J397" s="44"/>
      <c r="K397" s="95">
        <v>25</v>
      </c>
      <c r="L397" s="49">
        <v>0.01</v>
      </c>
      <c r="M397" s="87">
        <f t="shared" si="9"/>
        <v>75</v>
      </c>
      <c r="N397" s="44" t="s">
        <v>519</v>
      </c>
      <c r="O397" s="91"/>
    </row>
    <row r="398" s="32" customFormat="1" ht="15" spans="1:15">
      <c r="A398" s="44">
        <v>172</v>
      </c>
      <c r="B398" s="44"/>
      <c r="C398" s="44"/>
      <c r="D398" s="44"/>
      <c r="E398" s="44" t="s">
        <v>129</v>
      </c>
      <c r="F398" s="94" t="s">
        <v>818</v>
      </c>
      <c r="G398" s="93" t="s">
        <v>819</v>
      </c>
      <c r="H398" s="94">
        <v>1</v>
      </c>
      <c r="I398" s="44"/>
      <c r="J398" s="44"/>
      <c r="K398" s="95">
        <v>160</v>
      </c>
      <c r="L398" s="49">
        <v>0.01</v>
      </c>
      <c r="M398" s="87">
        <f t="shared" si="9"/>
        <v>160</v>
      </c>
      <c r="N398" s="44" t="s">
        <v>519</v>
      </c>
      <c r="O398" s="91"/>
    </row>
    <row r="399" s="32" customFormat="1" ht="15" spans="1:15">
      <c r="A399" s="44">
        <v>173</v>
      </c>
      <c r="B399" s="44"/>
      <c r="C399" s="44"/>
      <c r="D399" s="44"/>
      <c r="E399" s="44" t="s">
        <v>129</v>
      </c>
      <c r="F399" s="94" t="s">
        <v>820</v>
      </c>
      <c r="G399" s="93" t="s">
        <v>821</v>
      </c>
      <c r="H399" s="94">
        <v>2</v>
      </c>
      <c r="I399" s="44"/>
      <c r="J399" s="44"/>
      <c r="K399" s="95">
        <v>38.5</v>
      </c>
      <c r="L399" s="49">
        <v>0.01</v>
      </c>
      <c r="M399" s="87">
        <f t="shared" si="9"/>
        <v>77</v>
      </c>
      <c r="N399" s="44" t="s">
        <v>519</v>
      </c>
      <c r="O399" s="91"/>
    </row>
    <row r="400" s="32" customFormat="1" ht="15" spans="1:15">
      <c r="A400" s="44">
        <v>174</v>
      </c>
      <c r="B400" s="44"/>
      <c r="C400" s="44"/>
      <c r="D400" s="44"/>
      <c r="E400" s="44" t="s">
        <v>129</v>
      </c>
      <c r="F400" s="94" t="s">
        <v>822</v>
      </c>
      <c r="G400" s="93" t="s">
        <v>823</v>
      </c>
      <c r="H400" s="94">
        <v>1</v>
      </c>
      <c r="I400" s="44"/>
      <c r="J400" s="44"/>
      <c r="K400" s="95">
        <v>120</v>
      </c>
      <c r="L400" s="49">
        <v>0.01</v>
      </c>
      <c r="M400" s="87">
        <f t="shared" si="9"/>
        <v>120</v>
      </c>
      <c r="N400" s="44" t="s">
        <v>519</v>
      </c>
      <c r="O400" s="91"/>
    </row>
    <row r="401" s="32" customFormat="1" ht="15" spans="1:15">
      <c r="A401" s="44">
        <v>175</v>
      </c>
      <c r="B401" s="44"/>
      <c r="C401" s="44"/>
      <c r="D401" s="44"/>
      <c r="E401" s="44" t="s">
        <v>129</v>
      </c>
      <c r="F401" s="94" t="s">
        <v>824</v>
      </c>
      <c r="G401" s="93" t="s">
        <v>825</v>
      </c>
      <c r="H401" s="94">
        <v>1</v>
      </c>
      <c r="I401" s="44"/>
      <c r="J401" s="44"/>
      <c r="K401" s="95">
        <v>66</v>
      </c>
      <c r="L401" s="49">
        <v>0.01</v>
      </c>
      <c r="M401" s="87">
        <f t="shared" si="9"/>
        <v>66</v>
      </c>
      <c r="N401" s="44" t="s">
        <v>519</v>
      </c>
      <c r="O401" s="90"/>
    </row>
    <row r="402" s="32" customFormat="1" ht="15" spans="1:15">
      <c r="A402" s="44">
        <v>176</v>
      </c>
      <c r="B402" s="44"/>
      <c r="C402" s="44"/>
      <c r="D402" s="44"/>
      <c r="E402" s="44" t="s">
        <v>129</v>
      </c>
      <c r="F402" s="94" t="s">
        <v>826</v>
      </c>
      <c r="G402" s="93"/>
      <c r="H402" s="94">
        <v>1</v>
      </c>
      <c r="I402" s="44"/>
      <c r="J402" s="44"/>
      <c r="K402" s="95">
        <v>35</v>
      </c>
      <c r="L402" s="49">
        <v>0.01</v>
      </c>
      <c r="M402" s="87">
        <f t="shared" si="9"/>
        <v>35</v>
      </c>
      <c r="N402" s="44" t="s">
        <v>519</v>
      </c>
      <c r="O402" s="89">
        <v>45922</v>
      </c>
    </row>
    <row r="403" s="32" customFormat="1" ht="15" spans="1:15">
      <c r="A403" s="44">
        <v>177</v>
      </c>
      <c r="B403" s="44"/>
      <c r="C403" s="44"/>
      <c r="D403" s="44"/>
      <c r="E403" s="44" t="s">
        <v>129</v>
      </c>
      <c r="F403" s="94" t="s">
        <v>521</v>
      </c>
      <c r="G403" s="100" t="s">
        <v>827</v>
      </c>
      <c r="H403" s="94">
        <v>1</v>
      </c>
      <c r="I403" s="44"/>
      <c r="J403" s="44"/>
      <c r="K403" s="95">
        <v>4800</v>
      </c>
      <c r="L403" s="49">
        <v>0.01</v>
      </c>
      <c r="M403" s="87">
        <f t="shared" si="9"/>
        <v>4800</v>
      </c>
      <c r="N403" s="44" t="s">
        <v>519</v>
      </c>
      <c r="O403" s="89">
        <v>45924</v>
      </c>
    </row>
    <row r="404" s="32" customFormat="1" ht="15" spans="1:15">
      <c r="A404" s="44">
        <v>178</v>
      </c>
      <c r="B404" s="44"/>
      <c r="C404" s="44"/>
      <c r="D404" s="44"/>
      <c r="E404" s="44" t="s">
        <v>129</v>
      </c>
      <c r="F404" s="94" t="s">
        <v>828</v>
      </c>
      <c r="G404" s="93" t="s">
        <v>566</v>
      </c>
      <c r="H404" s="94">
        <v>4</v>
      </c>
      <c r="I404" s="44"/>
      <c r="J404" s="44"/>
      <c r="K404" s="95">
        <v>9.5</v>
      </c>
      <c r="L404" s="49">
        <v>0.01</v>
      </c>
      <c r="M404" s="87">
        <f t="shared" si="9"/>
        <v>38</v>
      </c>
      <c r="N404" s="44" t="s">
        <v>519</v>
      </c>
      <c r="O404" s="91"/>
    </row>
    <row r="405" s="32" customFormat="1" ht="15" spans="1:15">
      <c r="A405" s="44">
        <v>179</v>
      </c>
      <c r="B405" s="44"/>
      <c r="C405" s="44"/>
      <c r="D405" s="44"/>
      <c r="E405" s="44" t="s">
        <v>129</v>
      </c>
      <c r="F405" s="94" t="s">
        <v>829</v>
      </c>
      <c r="G405" s="93" t="s">
        <v>830</v>
      </c>
      <c r="H405" s="94">
        <v>2</v>
      </c>
      <c r="I405" s="44"/>
      <c r="J405" s="44"/>
      <c r="K405" s="95">
        <v>13</v>
      </c>
      <c r="L405" s="49">
        <v>0.01</v>
      </c>
      <c r="M405" s="87">
        <f t="shared" si="9"/>
        <v>26</v>
      </c>
      <c r="N405" s="44" t="s">
        <v>519</v>
      </c>
      <c r="O405" s="90"/>
    </row>
    <row r="406" s="32" customFormat="1" ht="15" spans="1:15">
      <c r="A406" s="44">
        <v>180</v>
      </c>
      <c r="B406" s="44"/>
      <c r="C406" s="44"/>
      <c r="D406" s="44"/>
      <c r="E406" s="44" t="s">
        <v>129</v>
      </c>
      <c r="F406" s="94" t="s">
        <v>831</v>
      </c>
      <c r="G406" s="93" t="s">
        <v>832</v>
      </c>
      <c r="H406" s="94">
        <v>2</v>
      </c>
      <c r="I406" s="44"/>
      <c r="J406" s="44"/>
      <c r="K406" s="95">
        <v>5.5</v>
      </c>
      <c r="L406" s="49">
        <v>0.01</v>
      </c>
      <c r="M406" s="87">
        <f t="shared" si="9"/>
        <v>11</v>
      </c>
      <c r="N406" s="44" t="s">
        <v>519</v>
      </c>
      <c r="O406" s="89">
        <v>45928</v>
      </c>
    </row>
    <row r="407" s="32" customFormat="1" ht="15" spans="1:15">
      <c r="A407" s="44">
        <v>181</v>
      </c>
      <c r="B407" s="44"/>
      <c r="C407" s="44"/>
      <c r="D407" s="44"/>
      <c r="E407" s="44" t="s">
        <v>129</v>
      </c>
      <c r="F407" s="94" t="s">
        <v>833</v>
      </c>
      <c r="G407" s="93" t="s">
        <v>834</v>
      </c>
      <c r="H407" s="94">
        <v>8</v>
      </c>
      <c r="I407" s="44"/>
      <c r="J407" s="44"/>
      <c r="K407" s="95">
        <v>11.5</v>
      </c>
      <c r="L407" s="49">
        <v>0.01</v>
      </c>
      <c r="M407" s="87">
        <f t="shared" si="9"/>
        <v>92</v>
      </c>
      <c r="N407" s="44" t="s">
        <v>519</v>
      </c>
      <c r="O407" s="91"/>
    </row>
    <row r="408" s="32" customFormat="1" ht="15" spans="1:15">
      <c r="A408" s="44">
        <v>182</v>
      </c>
      <c r="B408" s="44"/>
      <c r="C408" s="44"/>
      <c r="D408" s="44"/>
      <c r="E408" s="44" t="s">
        <v>129</v>
      </c>
      <c r="F408" s="94" t="s">
        <v>835</v>
      </c>
      <c r="G408" s="93" t="s">
        <v>836</v>
      </c>
      <c r="H408" s="94">
        <v>1</v>
      </c>
      <c r="I408" s="44"/>
      <c r="J408" s="44"/>
      <c r="K408" s="95">
        <v>40</v>
      </c>
      <c r="L408" s="49">
        <v>0.01</v>
      </c>
      <c r="M408" s="87">
        <f t="shared" si="9"/>
        <v>40</v>
      </c>
      <c r="N408" s="44" t="s">
        <v>519</v>
      </c>
      <c r="O408" s="91"/>
    </row>
    <row r="409" s="32" customFormat="1" ht="15" spans="1:15">
      <c r="A409" s="44">
        <v>183</v>
      </c>
      <c r="B409" s="44"/>
      <c r="C409" s="44"/>
      <c r="D409" s="44"/>
      <c r="E409" s="44" t="s">
        <v>129</v>
      </c>
      <c r="F409" s="94" t="s">
        <v>623</v>
      </c>
      <c r="G409" s="93" t="s">
        <v>837</v>
      </c>
      <c r="H409" s="94">
        <v>3</v>
      </c>
      <c r="I409" s="44"/>
      <c r="J409" s="44"/>
      <c r="K409" s="95">
        <v>19</v>
      </c>
      <c r="L409" s="49">
        <v>0.01</v>
      </c>
      <c r="M409" s="87">
        <f t="shared" si="9"/>
        <v>57</v>
      </c>
      <c r="N409" s="44" t="s">
        <v>519</v>
      </c>
      <c r="O409" s="91"/>
    </row>
    <row r="410" s="32" customFormat="1" ht="15" spans="1:15">
      <c r="A410" s="44">
        <v>184</v>
      </c>
      <c r="B410" s="44"/>
      <c r="C410" s="44"/>
      <c r="D410" s="44"/>
      <c r="E410" s="44" t="s">
        <v>129</v>
      </c>
      <c r="F410" s="94" t="s">
        <v>288</v>
      </c>
      <c r="G410" s="93" t="s">
        <v>838</v>
      </c>
      <c r="H410" s="94">
        <v>1</v>
      </c>
      <c r="I410" s="44"/>
      <c r="J410" s="44"/>
      <c r="K410" s="95">
        <v>195</v>
      </c>
      <c r="L410" s="49">
        <v>0.01</v>
      </c>
      <c r="M410" s="87">
        <f t="shared" si="9"/>
        <v>195</v>
      </c>
      <c r="N410" s="44" t="s">
        <v>519</v>
      </c>
      <c r="O410" s="91"/>
    </row>
    <row r="411" s="32" customFormat="1" ht="15" spans="1:15">
      <c r="A411" s="44">
        <v>185</v>
      </c>
      <c r="B411" s="44"/>
      <c r="C411" s="44"/>
      <c r="D411" s="44"/>
      <c r="E411" s="44" t="s">
        <v>129</v>
      </c>
      <c r="F411" s="94" t="s">
        <v>839</v>
      </c>
      <c r="G411" s="93" t="s">
        <v>840</v>
      </c>
      <c r="H411" s="94">
        <v>1</v>
      </c>
      <c r="I411" s="44"/>
      <c r="J411" s="44"/>
      <c r="K411" s="95">
        <v>370</v>
      </c>
      <c r="L411" s="49">
        <v>0.01</v>
      </c>
      <c r="M411" s="87">
        <f t="shared" si="9"/>
        <v>370</v>
      </c>
      <c r="N411" s="44" t="s">
        <v>519</v>
      </c>
      <c r="O411" s="91"/>
    </row>
    <row r="412" s="32" customFormat="1" ht="15" spans="1:15">
      <c r="A412" s="44">
        <v>186</v>
      </c>
      <c r="B412" s="44"/>
      <c r="C412" s="44"/>
      <c r="D412" s="44"/>
      <c r="E412" s="44" t="s">
        <v>129</v>
      </c>
      <c r="F412" s="94" t="s">
        <v>841</v>
      </c>
      <c r="G412" s="93" t="s">
        <v>842</v>
      </c>
      <c r="H412" s="94">
        <v>1</v>
      </c>
      <c r="I412" s="44"/>
      <c r="J412" s="44"/>
      <c r="K412" s="95">
        <v>390</v>
      </c>
      <c r="L412" s="49">
        <v>0.01</v>
      </c>
      <c r="M412" s="87">
        <f t="shared" si="9"/>
        <v>390</v>
      </c>
      <c r="N412" s="44" t="s">
        <v>519</v>
      </c>
      <c r="O412" s="90"/>
    </row>
    <row r="413" s="32" customFormat="1" ht="15" spans="1:15">
      <c r="A413" s="44">
        <v>187</v>
      </c>
      <c r="B413" s="44"/>
      <c r="C413" s="44"/>
      <c r="D413" s="44"/>
      <c r="E413" s="44" t="s">
        <v>129</v>
      </c>
      <c r="F413" s="94" t="s">
        <v>538</v>
      </c>
      <c r="G413" s="93" t="s">
        <v>843</v>
      </c>
      <c r="H413" s="94">
        <v>1</v>
      </c>
      <c r="I413" s="44"/>
      <c r="J413" s="44"/>
      <c r="K413" s="95">
        <v>1425</v>
      </c>
      <c r="L413" s="49">
        <v>0.01</v>
      </c>
      <c r="M413" s="87">
        <f t="shared" si="9"/>
        <v>1425</v>
      </c>
      <c r="N413" s="44" t="s">
        <v>519</v>
      </c>
      <c r="O413" s="89">
        <v>45929</v>
      </c>
    </row>
    <row r="414" s="32" customFormat="1" ht="15" spans="1:15">
      <c r="A414" s="44">
        <v>188</v>
      </c>
      <c r="B414" s="44"/>
      <c r="C414" s="44"/>
      <c r="D414" s="44"/>
      <c r="E414" s="44" t="s">
        <v>129</v>
      </c>
      <c r="F414" s="94" t="s">
        <v>844</v>
      </c>
      <c r="G414" s="93" t="s">
        <v>845</v>
      </c>
      <c r="H414" s="94">
        <v>1</v>
      </c>
      <c r="I414" s="44"/>
      <c r="J414" s="44"/>
      <c r="K414" s="95">
        <v>18.5</v>
      </c>
      <c r="L414" s="49">
        <v>0.01</v>
      </c>
      <c r="M414" s="87">
        <f t="shared" si="9"/>
        <v>18.5</v>
      </c>
      <c r="N414" s="44" t="s">
        <v>519</v>
      </c>
      <c r="O414" s="90"/>
    </row>
    <row r="415" s="32" customFormat="1" ht="15" spans="1:15">
      <c r="A415" s="44">
        <v>189</v>
      </c>
      <c r="B415" s="44"/>
      <c r="C415" s="44"/>
      <c r="D415" s="44"/>
      <c r="E415" s="44" t="s">
        <v>129</v>
      </c>
      <c r="F415" s="94" t="s">
        <v>523</v>
      </c>
      <c r="G415" s="93" t="s">
        <v>846</v>
      </c>
      <c r="H415" s="94">
        <v>2</v>
      </c>
      <c r="I415" s="44"/>
      <c r="J415" s="44"/>
      <c r="K415" s="95">
        <v>45</v>
      </c>
      <c r="L415" s="49">
        <v>0.01</v>
      </c>
      <c r="M415" s="87">
        <f t="shared" si="9"/>
        <v>90</v>
      </c>
      <c r="N415" s="44" t="s">
        <v>519</v>
      </c>
      <c r="O415" s="101">
        <v>45940</v>
      </c>
    </row>
    <row r="416" s="32" customFormat="1" ht="15" spans="1:15">
      <c r="A416" s="44">
        <v>190</v>
      </c>
      <c r="B416" s="44"/>
      <c r="C416" s="44"/>
      <c r="D416" s="44"/>
      <c r="E416" s="44" t="s">
        <v>129</v>
      </c>
      <c r="F416" s="94" t="s">
        <v>659</v>
      </c>
      <c r="G416" s="93"/>
      <c r="H416" s="94">
        <v>2</v>
      </c>
      <c r="I416" s="44"/>
      <c r="J416" s="44"/>
      <c r="K416" s="95">
        <v>0</v>
      </c>
      <c r="L416" s="49">
        <v>0.01</v>
      </c>
      <c r="M416" s="87">
        <f t="shared" si="9"/>
        <v>0</v>
      </c>
      <c r="N416" s="44" t="s">
        <v>519</v>
      </c>
      <c r="O416" s="102"/>
    </row>
    <row r="417" s="32" customFormat="1" ht="15" spans="1:15">
      <c r="A417" s="44">
        <v>191</v>
      </c>
      <c r="B417" s="44"/>
      <c r="C417" s="44"/>
      <c r="D417" s="44"/>
      <c r="E417" s="44" t="s">
        <v>129</v>
      </c>
      <c r="F417" s="94" t="s">
        <v>847</v>
      </c>
      <c r="G417" s="93" t="s">
        <v>848</v>
      </c>
      <c r="H417" s="94">
        <v>1</v>
      </c>
      <c r="I417" s="44"/>
      <c r="J417" s="44"/>
      <c r="K417" s="95">
        <v>14</v>
      </c>
      <c r="L417" s="49">
        <v>0.01</v>
      </c>
      <c r="M417" s="87">
        <f t="shared" si="9"/>
        <v>14</v>
      </c>
      <c r="N417" s="44" t="s">
        <v>519</v>
      </c>
      <c r="O417" s="102"/>
    </row>
    <row r="418" s="32" customFormat="1" ht="15" spans="1:15">
      <c r="A418" s="44">
        <v>192</v>
      </c>
      <c r="B418" s="44"/>
      <c r="C418" s="44"/>
      <c r="D418" s="44"/>
      <c r="E418" s="44" t="s">
        <v>129</v>
      </c>
      <c r="F418" s="94" t="s">
        <v>849</v>
      </c>
      <c r="G418" s="93" t="s">
        <v>850</v>
      </c>
      <c r="H418" s="94">
        <v>1</v>
      </c>
      <c r="I418" s="44"/>
      <c r="J418" s="44"/>
      <c r="K418" s="95">
        <v>22</v>
      </c>
      <c r="L418" s="49">
        <v>0.01</v>
      </c>
      <c r="M418" s="87">
        <f t="shared" si="9"/>
        <v>22</v>
      </c>
      <c r="N418" s="44" t="s">
        <v>519</v>
      </c>
      <c r="O418" s="102"/>
    </row>
    <row r="419" s="32" customFormat="1" ht="15" spans="1:15">
      <c r="A419" s="44">
        <v>193</v>
      </c>
      <c r="B419" s="44"/>
      <c r="C419" s="44"/>
      <c r="D419" s="44"/>
      <c r="E419" s="44" t="s">
        <v>129</v>
      </c>
      <c r="F419" s="94" t="s">
        <v>734</v>
      </c>
      <c r="G419" s="93"/>
      <c r="H419" s="94">
        <v>8</v>
      </c>
      <c r="I419" s="44"/>
      <c r="J419" s="44"/>
      <c r="K419" s="95">
        <v>19.5</v>
      </c>
      <c r="L419" s="49">
        <v>0.01</v>
      </c>
      <c r="M419" s="87">
        <f t="shared" si="9"/>
        <v>156</v>
      </c>
      <c r="N419" s="44" t="s">
        <v>519</v>
      </c>
      <c r="O419" s="102"/>
    </row>
    <row r="420" s="32" customFormat="1" ht="15" spans="1:15">
      <c r="A420" s="44">
        <v>194</v>
      </c>
      <c r="B420" s="44"/>
      <c r="C420" s="44"/>
      <c r="D420" s="44"/>
      <c r="E420" s="44" t="s">
        <v>129</v>
      </c>
      <c r="F420" s="94" t="s">
        <v>851</v>
      </c>
      <c r="G420" s="93" t="s">
        <v>852</v>
      </c>
      <c r="H420" s="94">
        <v>1</v>
      </c>
      <c r="I420" s="44"/>
      <c r="J420" s="44"/>
      <c r="K420" s="95">
        <v>85</v>
      </c>
      <c r="L420" s="49">
        <v>0.01</v>
      </c>
      <c r="M420" s="87">
        <f t="shared" ref="M420:M482" si="10">H420*K420</f>
        <v>85</v>
      </c>
      <c r="N420" s="44" t="s">
        <v>519</v>
      </c>
      <c r="O420" s="102"/>
    </row>
    <row r="421" s="32" customFormat="1" ht="15" spans="1:15">
      <c r="A421" s="44">
        <v>195</v>
      </c>
      <c r="B421" s="44"/>
      <c r="C421" s="44"/>
      <c r="D421" s="44"/>
      <c r="E421" s="44" t="s">
        <v>129</v>
      </c>
      <c r="F421" s="94" t="s">
        <v>853</v>
      </c>
      <c r="G421" s="93" t="s">
        <v>854</v>
      </c>
      <c r="H421" s="94">
        <v>10</v>
      </c>
      <c r="I421" s="44"/>
      <c r="J421" s="44"/>
      <c r="K421" s="95">
        <v>7.8</v>
      </c>
      <c r="L421" s="49">
        <v>0.01</v>
      </c>
      <c r="M421" s="87">
        <f t="shared" si="10"/>
        <v>78</v>
      </c>
      <c r="N421" s="44" t="s">
        <v>519</v>
      </c>
      <c r="O421" s="102"/>
    </row>
    <row r="422" s="32" customFormat="1" ht="15" spans="1:15">
      <c r="A422" s="44">
        <v>196</v>
      </c>
      <c r="B422" s="44"/>
      <c r="C422" s="44"/>
      <c r="D422" s="44"/>
      <c r="E422" s="44" t="s">
        <v>129</v>
      </c>
      <c r="F422" s="94" t="s">
        <v>695</v>
      </c>
      <c r="G422" s="93" t="s">
        <v>855</v>
      </c>
      <c r="H422" s="94">
        <v>1</v>
      </c>
      <c r="I422" s="44"/>
      <c r="J422" s="44"/>
      <c r="K422" s="95">
        <v>26.8</v>
      </c>
      <c r="L422" s="49">
        <v>0.01</v>
      </c>
      <c r="M422" s="87">
        <f t="shared" si="10"/>
        <v>26.8</v>
      </c>
      <c r="N422" s="44" t="s">
        <v>519</v>
      </c>
      <c r="O422" s="103"/>
    </row>
    <row r="423" s="32" customFormat="1" ht="15" spans="1:15">
      <c r="A423" s="44">
        <v>197</v>
      </c>
      <c r="B423" s="44"/>
      <c r="C423" s="44"/>
      <c r="D423" s="44"/>
      <c r="E423" s="44" t="s">
        <v>129</v>
      </c>
      <c r="F423" s="94" t="s">
        <v>534</v>
      </c>
      <c r="G423" s="93" t="s">
        <v>612</v>
      </c>
      <c r="H423" s="94">
        <v>10</v>
      </c>
      <c r="I423" s="44"/>
      <c r="J423" s="44"/>
      <c r="K423" s="95">
        <v>13.8</v>
      </c>
      <c r="L423" s="49">
        <v>0.01</v>
      </c>
      <c r="M423" s="87">
        <f t="shared" si="10"/>
        <v>138</v>
      </c>
      <c r="N423" s="44" t="s">
        <v>519</v>
      </c>
      <c r="O423" s="101">
        <v>45944</v>
      </c>
    </row>
    <row r="424" s="32" customFormat="1" ht="15" spans="1:15">
      <c r="A424" s="44">
        <v>198</v>
      </c>
      <c r="B424" s="44"/>
      <c r="C424" s="44"/>
      <c r="D424" s="44"/>
      <c r="E424" s="44" t="s">
        <v>129</v>
      </c>
      <c r="F424" s="94" t="s">
        <v>856</v>
      </c>
      <c r="G424" s="93" t="s">
        <v>857</v>
      </c>
      <c r="H424" s="94">
        <v>2</v>
      </c>
      <c r="I424" s="44"/>
      <c r="J424" s="44"/>
      <c r="K424" s="95">
        <v>10</v>
      </c>
      <c r="L424" s="49">
        <v>0.01</v>
      </c>
      <c r="M424" s="87">
        <f t="shared" si="10"/>
        <v>20</v>
      </c>
      <c r="N424" s="44" t="s">
        <v>519</v>
      </c>
      <c r="O424" s="102"/>
    </row>
    <row r="425" s="32" customFormat="1" ht="15" spans="1:15">
      <c r="A425" s="44">
        <v>199</v>
      </c>
      <c r="B425" s="44"/>
      <c r="C425" s="44"/>
      <c r="D425" s="44"/>
      <c r="E425" s="44" t="s">
        <v>129</v>
      </c>
      <c r="F425" s="94" t="s">
        <v>858</v>
      </c>
      <c r="G425" s="93" t="s">
        <v>859</v>
      </c>
      <c r="H425" s="94">
        <v>1</v>
      </c>
      <c r="I425" s="44"/>
      <c r="J425" s="44"/>
      <c r="K425" s="95">
        <v>45</v>
      </c>
      <c r="L425" s="49">
        <v>0.01</v>
      </c>
      <c r="M425" s="87">
        <f t="shared" si="10"/>
        <v>45</v>
      </c>
      <c r="N425" s="44" t="s">
        <v>519</v>
      </c>
      <c r="O425" s="102"/>
    </row>
    <row r="426" s="32" customFormat="1" ht="15" spans="1:15">
      <c r="A426" s="44">
        <v>200</v>
      </c>
      <c r="B426" s="44"/>
      <c r="C426" s="44"/>
      <c r="D426" s="44"/>
      <c r="E426" s="44" t="s">
        <v>129</v>
      </c>
      <c r="F426" s="94" t="s">
        <v>860</v>
      </c>
      <c r="G426" s="93" t="s">
        <v>861</v>
      </c>
      <c r="H426" s="94">
        <v>20</v>
      </c>
      <c r="I426" s="44"/>
      <c r="J426" s="44"/>
      <c r="K426" s="95">
        <v>5.5</v>
      </c>
      <c r="L426" s="49">
        <v>0.01</v>
      </c>
      <c r="M426" s="87">
        <f t="shared" si="10"/>
        <v>110</v>
      </c>
      <c r="N426" s="44" t="s">
        <v>519</v>
      </c>
      <c r="O426" s="102"/>
    </row>
    <row r="427" s="32" customFormat="1" ht="15" spans="1:15">
      <c r="A427" s="44">
        <v>201</v>
      </c>
      <c r="B427" s="44"/>
      <c r="C427" s="44"/>
      <c r="D427" s="44"/>
      <c r="E427" s="44" t="s">
        <v>129</v>
      </c>
      <c r="F427" s="94" t="s">
        <v>862</v>
      </c>
      <c r="G427" s="93" t="s">
        <v>817</v>
      </c>
      <c r="H427" s="94">
        <v>3</v>
      </c>
      <c r="I427" s="44"/>
      <c r="J427" s="44"/>
      <c r="K427" s="95">
        <v>23</v>
      </c>
      <c r="L427" s="49">
        <v>0.01</v>
      </c>
      <c r="M427" s="87">
        <f t="shared" si="10"/>
        <v>69</v>
      </c>
      <c r="N427" s="44" t="s">
        <v>519</v>
      </c>
      <c r="O427" s="102"/>
    </row>
    <row r="428" s="32" customFormat="1" ht="15" spans="1:15">
      <c r="A428" s="44">
        <v>202</v>
      </c>
      <c r="B428" s="44"/>
      <c r="C428" s="44"/>
      <c r="D428" s="44"/>
      <c r="E428" s="44" t="s">
        <v>129</v>
      </c>
      <c r="F428" s="94" t="s">
        <v>863</v>
      </c>
      <c r="G428" s="93" t="s">
        <v>864</v>
      </c>
      <c r="H428" s="94">
        <v>3</v>
      </c>
      <c r="I428" s="44"/>
      <c r="J428" s="44"/>
      <c r="K428" s="95">
        <v>4</v>
      </c>
      <c r="L428" s="49">
        <v>0.01</v>
      </c>
      <c r="M428" s="87">
        <f t="shared" si="10"/>
        <v>12</v>
      </c>
      <c r="N428" s="44" t="s">
        <v>519</v>
      </c>
      <c r="O428" s="102"/>
    </row>
    <row r="429" s="32" customFormat="1" ht="15" spans="1:15">
      <c r="A429" s="44">
        <v>203</v>
      </c>
      <c r="B429" s="44"/>
      <c r="C429" s="44"/>
      <c r="D429" s="44"/>
      <c r="E429" s="44" t="s">
        <v>129</v>
      </c>
      <c r="F429" s="94" t="s">
        <v>865</v>
      </c>
      <c r="G429" s="93" t="s">
        <v>866</v>
      </c>
      <c r="H429" s="94">
        <v>2</v>
      </c>
      <c r="I429" s="44"/>
      <c r="J429" s="44"/>
      <c r="K429" s="95">
        <v>8</v>
      </c>
      <c r="L429" s="49">
        <v>0.01</v>
      </c>
      <c r="M429" s="87">
        <f t="shared" si="10"/>
        <v>16</v>
      </c>
      <c r="N429" s="44" t="s">
        <v>519</v>
      </c>
      <c r="O429" s="102"/>
    </row>
    <row r="430" s="32" customFormat="1" ht="15" spans="1:15">
      <c r="A430" s="44">
        <v>204</v>
      </c>
      <c r="B430" s="44"/>
      <c r="C430" s="44"/>
      <c r="D430" s="44"/>
      <c r="E430" s="44" t="s">
        <v>129</v>
      </c>
      <c r="F430" s="94" t="s">
        <v>867</v>
      </c>
      <c r="G430" s="93" t="s">
        <v>868</v>
      </c>
      <c r="H430" s="94">
        <v>10</v>
      </c>
      <c r="I430" s="44"/>
      <c r="J430" s="44"/>
      <c r="K430" s="95">
        <v>1</v>
      </c>
      <c r="L430" s="49">
        <v>0.01</v>
      </c>
      <c r="M430" s="87">
        <f t="shared" si="10"/>
        <v>10</v>
      </c>
      <c r="N430" s="44" t="s">
        <v>519</v>
      </c>
      <c r="O430" s="102"/>
    </row>
    <row r="431" s="32" customFormat="1" ht="15" spans="1:15">
      <c r="A431" s="44">
        <v>205</v>
      </c>
      <c r="B431" s="44"/>
      <c r="C431" s="44"/>
      <c r="D431" s="44"/>
      <c r="E431" s="44" t="s">
        <v>129</v>
      </c>
      <c r="F431" s="94" t="s">
        <v>869</v>
      </c>
      <c r="G431" s="93" t="s">
        <v>870</v>
      </c>
      <c r="H431" s="94">
        <v>1</v>
      </c>
      <c r="I431" s="44"/>
      <c r="J431" s="44"/>
      <c r="K431" s="95">
        <v>20</v>
      </c>
      <c r="L431" s="49">
        <v>0.01</v>
      </c>
      <c r="M431" s="87">
        <f t="shared" si="10"/>
        <v>20</v>
      </c>
      <c r="N431" s="44" t="s">
        <v>519</v>
      </c>
      <c r="O431" s="102"/>
    </row>
    <row r="432" s="32" customFormat="1" ht="15" spans="1:15">
      <c r="A432" s="44">
        <v>206</v>
      </c>
      <c r="B432" s="44"/>
      <c r="C432" s="44"/>
      <c r="D432" s="44"/>
      <c r="E432" s="44" t="s">
        <v>129</v>
      </c>
      <c r="F432" s="94" t="s">
        <v>871</v>
      </c>
      <c r="G432" s="93" t="s">
        <v>872</v>
      </c>
      <c r="H432" s="94">
        <v>5</v>
      </c>
      <c r="I432" s="44"/>
      <c r="J432" s="44"/>
      <c r="K432" s="95">
        <v>33.5</v>
      </c>
      <c r="L432" s="49">
        <v>0.01</v>
      </c>
      <c r="M432" s="87">
        <f t="shared" si="10"/>
        <v>167.5</v>
      </c>
      <c r="N432" s="44" t="s">
        <v>519</v>
      </c>
      <c r="O432" s="102"/>
    </row>
    <row r="433" s="32" customFormat="1" ht="15" spans="1:15">
      <c r="A433" s="44">
        <v>207</v>
      </c>
      <c r="B433" s="44"/>
      <c r="C433" s="44"/>
      <c r="D433" s="44"/>
      <c r="E433" s="44" t="s">
        <v>129</v>
      </c>
      <c r="F433" s="94" t="s">
        <v>873</v>
      </c>
      <c r="G433" s="93" t="s">
        <v>874</v>
      </c>
      <c r="H433" s="94">
        <v>1</v>
      </c>
      <c r="I433" s="44"/>
      <c r="J433" s="44"/>
      <c r="K433" s="95">
        <v>20</v>
      </c>
      <c r="L433" s="49">
        <v>0.01</v>
      </c>
      <c r="M433" s="87">
        <f t="shared" si="10"/>
        <v>20</v>
      </c>
      <c r="N433" s="44" t="s">
        <v>519</v>
      </c>
      <c r="O433" s="102"/>
    </row>
    <row r="434" s="32" customFormat="1" ht="15" spans="1:15">
      <c r="A434" s="44">
        <v>208</v>
      </c>
      <c r="B434" s="44"/>
      <c r="C434" s="44"/>
      <c r="D434" s="44"/>
      <c r="E434" s="44" t="s">
        <v>129</v>
      </c>
      <c r="F434" s="94" t="s">
        <v>875</v>
      </c>
      <c r="G434" s="93" t="s">
        <v>876</v>
      </c>
      <c r="H434" s="94">
        <v>1</v>
      </c>
      <c r="I434" s="44"/>
      <c r="J434" s="44"/>
      <c r="K434" s="95">
        <v>15</v>
      </c>
      <c r="L434" s="49">
        <v>0.01</v>
      </c>
      <c r="M434" s="87">
        <f t="shared" si="10"/>
        <v>15</v>
      </c>
      <c r="N434" s="44" t="s">
        <v>519</v>
      </c>
      <c r="O434" s="102"/>
    </row>
    <row r="435" s="32" customFormat="1" ht="15" spans="1:15">
      <c r="A435" s="44">
        <v>209</v>
      </c>
      <c r="B435" s="44"/>
      <c r="C435" s="44"/>
      <c r="D435" s="44"/>
      <c r="E435" s="44" t="s">
        <v>129</v>
      </c>
      <c r="F435" s="94" t="s">
        <v>877</v>
      </c>
      <c r="G435" s="93" t="s">
        <v>878</v>
      </c>
      <c r="H435" s="94">
        <v>1</v>
      </c>
      <c r="I435" s="44"/>
      <c r="J435" s="44"/>
      <c r="K435" s="95">
        <v>130</v>
      </c>
      <c r="L435" s="49">
        <v>0.01</v>
      </c>
      <c r="M435" s="87">
        <f t="shared" si="10"/>
        <v>130</v>
      </c>
      <c r="N435" s="44" t="s">
        <v>519</v>
      </c>
      <c r="O435" s="102"/>
    </row>
    <row r="436" s="32" customFormat="1" ht="15" spans="1:15">
      <c r="A436" s="44">
        <v>210</v>
      </c>
      <c r="B436" s="44"/>
      <c r="C436" s="44"/>
      <c r="D436" s="44"/>
      <c r="E436" s="44" t="s">
        <v>129</v>
      </c>
      <c r="F436" s="94" t="s">
        <v>707</v>
      </c>
      <c r="G436" s="93" t="s">
        <v>708</v>
      </c>
      <c r="H436" s="94">
        <v>2</v>
      </c>
      <c r="I436" s="44"/>
      <c r="J436" s="44"/>
      <c r="K436" s="95">
        <v>44</v>
      </c>
      <c r="L436" s="49">
        <v>0.01</v>
      </c>
      <c r="M436" s="87">
        <f t="shared" si="10"/>
        <v>88</v>
      </c>
      <c r="N436" s="44" t="s">
        <v>519</v>
      </c>
      <c r="O436" s="102"/>
    </row>
    <row r="437" s="32" customFormat="1" ht="15" spans="1:15">
      <c r="A437" s="44">
        <v>211</v>
      </c>
      <c r="B437" s="44"/>
      <c r="C437" s="44"/>
      <c r="D437" s="44"/>
      <c r="E437" s="44" t="s">
        <v>129</v>
      </c>
      <c r="F437" s="94" t="s">
        <v>879</v>
      </c>
      <c r="G437" s="93" t="s">
        <v>880</v>
      </c>
      <c r="H437" s="94">
        <v>2</v>
      </c>
      <c r="I437" s="44"/>
      <c r="J437" s="44"/>
      <c r="K437" s="95">
        <v>55</v>
      </c>
      <c r="L437" s="49">
        <v>0.01</v>
      </c>
      <c r="M437" s="87">
        <f t="shared" si="10"/>
        <v>110</v>
      </c>
      <c r="N437" s="44" t="s">
        <v>519</v>
      </c>
      <c r="O437" s="102"/>
    </row>
    <row r="438" s="32" customFormat="1" ht="15" spans="1:15">
      <c r="A438" s="44">
        <v>212</v>
      </c>
      <c r="B438" s="44"/>
      <c r="C438" s="44"/>
      <c r="D438" s="44"/>
      <c r="E438" s="44" t="s">
        <v>129</v>
      </c>
      <c r="F438" s="94" t="s">
        <v>521</v>
      </c>
      <c r="G438" s="93" t="s">
        <v>881</v>
      </c>
      <c r="H438" s="94">
        <v>1</v>
      </c>
      <c r="I438" s="44"/>
      <c r="J438" s="44"/>
      <c r="K438" s="95">
        <v>3465</v>
      </c>
      <c r="L438" s="49">
        <v>0.01</v>
      </c>
      <c r="M438" s="87">
        <f t="shared" si="10"/>
        <v>3465</v>
      </c>
      <c r="N438" s="44" t="s">
        <v>519</v>
      </c>
      <c r="O438" s="102"/>
    </row>
    <row r="439" s="32" customFormat="1" ht="15" spans="1:15">
      <c r="A439" s="44">
        <v>213</v>
      </c>
      <c r="B439" s="44"/>
      <c r="C439" s="44"/>
      <c r="D439" s="44"/>
      <c r="E439" s="44" t="s">
        <v>129</v>
      </c>
      <c r="F439" s="94" t="s">
        <v>882</v>
      </c>
      <c r="G439" s="93" t="s">
        <v>883</v>
      </c>
      <c r="H439" s="94">
        <v>10</v>
      </c>
      <c r="I439" s="44"/>
      <c r="J439" s="44"/>
      <c r="K439" s="95">
        <v>3.1</v>
      </c>
      <c r="L439" s="49">
        <v>0.01</v>
      </c>
      <c r="M439" s="87">
        <f t="shared" si="10"/>
        <v>31</v>
      </c>
      <c r="N439" s="44" t="s">
        <v>519</v>
      </c>
      <c r="O439" s="102"/>
    </row>
    <row r="440" s="32" customFormat="1" ht="15" spans="1:15">
      <c r="A440" s="44">
        <v>214</v>
      </c>
      <c r="B440" s="44"/>
      <c r="C440" s="44"/>
      <c r="D440" s="44"/>
      <c r="E440" s="44" t="s">
        <v>129</v>
      </c>
      <c r="F440" s="94" t="s">
        <v>882</v>
      </c>
      <c r="G440" s="93" t="s">
        <v>884</v>
      </c>
      <c r="H440" s="94">
        <v>10</v>
      </c>
      <c r="I440" s="44"/>
      <c r="J440" s="44"/>
      <c r="K440" s="95">
        <v>4.5</v>
      </c>
      <c r="L440" s="49">
        <v>0.01</v>
      </c>
      <c r="M440" s="87">
        <f t="shared" si="10"/>
        <v>45</v>
      </c>
      <c r="N440" s="44" t="s">
        <v>519</v>
      </c>
      <c r="O440" s="103"/>
    </row>
    <row r="441" s="32" customFormat="1" ht="15" spans="1:15">
      <c r="A441" s="44">
        <v>215</v>
      </c>
      <c r="B441" s="44"/>
      <c r="C441" s="44"/>
      <c r="D441" s="44"/>
      <c r="E441" s="44" t="s">
        <v>129</v>
      </c>
      <c r="F441" s="94" t="s">
        <v>683</v>
      </c>
      <c r="G441" s="93" t="s">
        <v>885</v>
      </c>
      <c r="H441" s="94">
        <v>1</v>
      </c>
      <c r="I441" s="44"/>
      <c r="J441" s="44"/>
      <c r="K441" s="95">
        <v>68</v>
      </c>
      <c r="L441" s="49">
        <v>0.01</v>
      </c>
      <c r="M441" s="87">
        <f t="shared" si="10"/>
        <v>68</v>
      </c>
      <c r="N441" s="44" t="s">
        <v>519</v>
      </c>
      <c r="O441" s="101">
        <v>45946</v>
      </c>
    </row>
    <row r="442" s="32" customFormat="1" ht="15" spans="1:15">
      <c r="A442" s="44">
        <v>216</v>
      </c>
      <c r="B442" s="44"/>
      <c r="C442" s="44"/>
      <c r="D442" s="44"/>
      <c r="E442" s="44" t="s">
        <v>129</v>
      </c>
      <c r="F442" s="94" t="s">
        <v>886</v>
      </c>
      <c r="G442" s="93" t="s">
        <v>887</v>
      </c>
      <c r="H442" s="94">
        <v>1</v>
      </c>
      <c r="I442" s="44"/>
      <c r="J442" s="44"/>
      <c r="K442" s="95">
        <v>135</v>
      </c>
      <c r="L442" s="49">
        <v>0.01</v>
      </c>
      <c r="M442" s="87">
        <f t="shared" si="10"/>
        <v>135</v>
      </c>
      <c r="N442" s="44" t="s">
        <v>519</v>
      </c>
      <c r="O442" s="102"/>
    </row>
    <row r="443" s="32" customFormat="1" ht="15" spans="1:15">
      <c r="A443" s="44">
        <v>217</v>
      </c>
      <c r="B443" s="44"/>
      <c r="C443" s="44"/>
      <c r="D443" s="44"/>
      <c r="E443" s="44" t="s">
        <v>129</v>
      </c>
      <c r="F443" s="94" t="s">
        <v>538</v>
      </c>
      <c r="G443" s="93" t="s">
        <v>888</v>
      </c>
      <c r="H443" s="94">
        <v>1</v>
      </c>
      <c r="I443" s="44"/>
      <c r="J443" s="44"/>
      <c r="K443" s="95">
        <v>1898</v>
      </c>
      <c r="L443" s="49">
        <v>0.01</v>
      </c>
      <c r="M443" s="87">
        <f t="shared" si="10"/>
        <v>1898</v>
      </c>
      <c r="N443" s="44" t="s">
        <v>519</v>
      </c>
      <c r="O443" s="102"/>
    </row>
    <row r="444" s="32" customFormat="1" ht="15" spans="1:15">
      <c r="A444" s="44">
        <v>218</v>
      </c>
      <c r="B444" s="44"/>
      <c r="C444" s="44"/>
      <c r="D444" s="44"/>
      <c r="E444" s="44" t="s">
        <v>129</v>
      </c>
      <c r="F444" s="94" t="s">
        <v>889</v>
      </c>
      <c r="G444" s="93" t="s">
        <v>890</v>
      </c>
      <c r="H444" s="94">
        <v>1</v>
      </c>
      <c r="I444" s="44"/>
      <c r="J444" s="44"/>
      <c r="K444" s="95">
        <v>455</v>
      </c>
      <c r="L444" s="49">
        <v>0.01</v>
      </c>
      <c r="M444" s="87">
        <f t="shared" si="10"/>
        <v>455</v>
      </c>
      <c r="N444" s="44" t="s">
        <v>519</v>
      </c>
      <c r="O444" s="102"/>
    </row>
    <row r="445" s="32" customFormat="1" ht="15" spans="1:15">
      <c r="A445" s="44">
        <v>219</v>
      </c>
      <c r="B445" s="44"/>
      <c r="C445" s="44"/>
      <c r="D445" s="44"/>
      <c r="E445" s="44" t="s">
        <v>129</v>
      </c>
      <c r="F445" s="94" t="s">
        <v>891</v>
      </c>
      <c r="G445" s="93" t="s">
        <v>892</v>
      </c>
      <c r="H445" s="94">
        <v>6</v>
      </c>
      <c r="I445" s="44"/>
      <c r="J445" s="44"/>
      <c r="K445" s="95">
        <v>16.5</v>
      </c>
      <c r="L445" s="49">
        <v>0.01</v>
      </c>
      <c r="M445" s="87">
        <f t="shared" si="10"/>
        <v>99</v>
      </c>
      <c r="N445" s="44" t="s">
        <v>519</v>
      </c>
      <c r="O445" s="102"/>
    </row>
    <row r="446" s="32" customFormat="1" ht="15" spans="1:15">
      <c r="A446" s="44">
        <v>220</v>
      </c>
      <c r="B446" s="44"/>
      <c r="C446" s="44"/>
      <c r="D446" s="44"/>
      <c r="E446" s="44" t="s">
        <v>129</v>
      </c>
      <c r="F446" s="94" t="s">
        <v>893</v>
      </c>
      <c r="G446" s="93" t="s">
        <v>894</v>
      </c>
      <c r="H446" s="94">
        <v>50</v>
      </c>
      <c r="I446" s="44"/>
      <c r="J446" s="44"/>
      <c r="K446" s="95">
        <v>2</v>
      </c>
      <c r="L446" s="49">
        <v>0.01</v>
      </c>
      <c r="M446" s="87">
        <f t="shared" si="10"/>
        <v>100</v>
      </c>
      <c r="N446" s="44" t="s">
        <v>519</v>
      </c>
      <c r="O446" s="102"/>
    </row>
    <row r="447" s="32" customFormat="1" ht="15" spans="1:15">
      <c r="A447" s="44">
        <v>221</v>
      </c>
      <c r="B447" s="44"/>
      <c r="C447" s="44"/>
      <c r="D447" s="44"/>
      <c r="E447" s="44" t="s">
        <v>129</v>
      </c>
      <c r="F447" s="94" t="s">
        <v>893</v>
      </c>
      <c r="G447" s="93" t="s">
        <v>895</v>
      </c>
      <c r="H447" s="94">
        <v>50</v>
      </c>
      <c r="I447" s="44"/>
      <c r="J447" s="44"/>
      <c r="K447" s="95">
        <v>1.65</v>
      </c>
      <c r="L447" s="49">
        <v>0.01</v>
      </c>
      <c r="M447" s="87">
        <f t="shared" si="10"/>
        <v>82.5</v>
      </c>
      <c r="N447" s="44" t="s">
        <v>519</v>
      </c>
      <c r="O447" s="102"/>
    </row>
    <row r="448" s="32" customFormat="1" ht="15" spans="1:15">
      <c r="A448" s="44">
        <v>222</v>
      </c>
      <c r="B448" s="44"/>
      <c r="C448" s="44"/>
      <c r="D448" s="44"/>
      <c r="E448" s="44" t="s">
        <v>129</v>
      </c>
      <c r="F448" s="94" t="s">
        <v>896</v>
      </c>
      <c r="G448" s="93" t="s">
        <v>897</v>
      </c>
      <c r="H448" s="94">
        <v>5</v>
      </c>
      <c r="I448" s="44"/>
      <c r="J448" s="44"/>
      <c r="K448" s="95">
        <v>6.5</v>
      </c>
      <c r="L448" s="49">
        <v>0.01</v>
      </c>
      <c r="M448" s="87">
        <f t="shared" si="10"/>
        <v>32.5</v>
      </c>
      <c r="N448" s="44" t="s">
        <v>519</v>
      </c>
      <c r="O448" s="102"/>
    </row>
    <row r="449" s="32" customFormat="1" ht="15" spans="1:15">
      <c r="A449" s="44">
        <v>223</v>
      </c>
      <c r="B449" s="44"/>
      <c r="C449" s="44"/>
      <c r="D449" s="44"/>
      <c r="E449" s="44" t="s">
        <v>129</v>
      </c>
      <c r="F449" s="94" t="s">
        <v>898</v>
      </c>
      <c r="G449" s="93" t="s">
        <v>899</v>
      </c>
      <c r="H449" s="94">
        <v>12</v>
      </c>
      <c r="I449" s="44"/>
      <c r="J449" s="44"/>
      <c r="K449" s="95">
        <v>12</v>
      </c>
      <c r="L449" s="49">
        <v>0.01</v>
      </c>
      <c r="M449" s="87">
        <f t="shared" si="10"/>
        <v>144</v>
      </c>
      <c r="N449" s="44" t="s">
        <v>519</v>
      </c>
      <c r="O449" s="102"/>
    </row>
    <row r="450" s="32" customFormat="1" ht="15" spans="1:15">
      <c r="A450" s="44">
        <v>224</v>
      </c>
      <c r="B450" s="44"/>
      <c r="C450" s="44"/>
      <c r="D450" s="44"/>
      <c r="E450" s="44" t="s">
        <v>129</v>
      </c>
      <c r="F450" s="94" t="s">
        <v>638</v>
      </c>
      <c r="G450" s="93" t="s">
        <v>900</v>
      </c>
      <c r="H450" s="94">
        <v>10</v>
      </c>
      <c r="I450" s="44"/>
      <c r="J450" s="44"/>
      <c r="K450" s="95">
        <v>9.5</v>
      </c>
      <c r="L450" s="49">
        <v>0.01</v>
      </c>
      <c r="M450" s="87">
        <f t="shared" si="10"/>
        <v>95</v>
      </c>
      <c r="N450" s="44" t="s">
        <v>519</v>
      </c>
      <c r="O450" s="102"/>
    </row>
    <row r="451" s="32" customFormat="1" ht="15" spans="1:15">
      <c r="A451" s="44">
        <v>225</v>
      </c>
      <c r="B451" s="44"/>
      <c r="C451" s="44"/>
      <c r="D451" s="44"/>
      <c r="E451" s="44" t="s">
        <v>129</v>
      </c>
      <c r="F451" s="94" t="s">
        <v>756</v>
      </c>
      <c r="G451" s="93" t="s">
        <v>901</v>
      </c>
      <c r="H451" s="94">
        <v>5</v>
      </c>
      <c r="I451" s="44"/>
      <c r="J451" s="44"/>
      <c r="K451" s="95">
        <v>26.5</v>
      </c>
      <c r="L451" s="49">
        <v>0.01</v>
      </c>
      <c r="M451" s="87">
        <f t="shared" si="10"/>
        <v>132.5</v>
      </c>
      <c r="N451" s="44" t="s">
        <v>519</v>
      </c>
      <c r="O451" s="102"/>
    </row>
    <row r="452" s="32" customFormat="1" ht="15" spans="1:15">
      <c r="A452" s="44">
        <v>226</v>
      </c>
      <c r="B452" s="44"/>
      <c r="C452" s="44"/>
      <c r="D452" s="44"/>
      <c r="E452" s="44" t="s">
        <v>129</v>
      </c>
      <c r="F452" s="94" t="s">
        <v>902</v>
      </c>
      <c r="G452" s="93">
        <v>783</v>
      </c>
      <c r="H452" s="94">
        <v>2</v>
      </c>
      <c r="I452" s="44"/>
      <c r="J452" s="44"/>
      <c r="K452" s="95">
        <v>32.5</v>
      </c>
      <c r="L452" s="49">
        <v>0.01</v>
      </c>
      <c r="M452" s="87">
        <f t="shared" si="10"/>
        <v>65</v>
      </c>
      <c r="N452" s="44" t="s">
        <v>519</v>
      </c>
      <c r="O452" s="103"/>
    </row>
    <row r="453" s="32" customFormat="1" ht="15" spans="1:15">
      <c r="A453" s="44">
        <v>227</v>
      </c>
      <c r="B453" s="44"/>
      <c r="C453" s="44"/>
      <c r="D453" s="44"/>
      <c r="E453" s="44" t="s">
        <v>129</v>
      </c>
      <c r="F453" s="94" t="s">
        <v>630</v>
      </c>
      <c r="G453" s="93" t="s">
        <v>903</v>
      </c>
      <c r="H453" s="94">
        <v>3</v>
      </c>
      <c r="I453" s="44"/>
      <c r="J453" s="44"/>
      <c r="K453" s="95">
        <v>4.5</v>
      </c>
      <c r="L453" s="49">
        <v>0.01</v>
      </c>
      <c r="M453" s="87">
        <f t="shared" si="10"/>
        <v>13.5</v>
      </c>
      <c r="N453" s="44" t="s">
        <v>519</v>
      </c>
      <c r="O453" s="104">
        <v>45950</v>
      </c>
    </row>
    <row r="454" s="32" customFormat="1" ht="15" spans="1:15">
      <c r="A454" s="44">
        <v>228</v>
      </c>
      <c r="B454" s="44"/>
      <c r="C454" s="44"/>
      <c r="D454" s="44"/>
      <c r="E454" s="44" t="s">
        <v>129</v>
      </c>
      <c r="F454" s="94" t="s">
        <v>904</v>
      </c>
      <c r="G454" s="93" t="s">
        <v>905</v>
      </c>
      <c r="H454" s="94">
        <v>3</v>
      </c>
      <c r="I454" s="44"/>
      <c r="J454" s="44"/>
      <c r="K454" s="95">
        <v>24</v>
      </c>
      <c r="L454" s="49">
        <v>0.01</v>
      </c>
      <c r="M454" s="87">
        <f t="shared" si="10"/>
        <v>72</v>
      </c>
      <c r="N454" s="44" t="s">
        <v>519</v>
      </c>
      <c r="O454" s="104"/>
    </row>
    <row r="455" s="32" customFormat="1" ht="15" spans="1:15">
      <c r="A455" s="44">
        <v>229</v>
      </c>
      <c r="B455" s="44"/>
      <c r="C455" s="44"/>
      <c r="D455" s="44"/>
      <c r="E455" s="44" t="s">
        <v>129</v>
      </c>
      <c r="F455" s="94" t="s">
        <v>906</v>
      </c>
      <c r="G455" s="93" t="s">
        <v>907</v>
      </c>
      <c r="H455" s="94">
        <v>1</v>
      </c>
      <c r="I455" s="44"/>
      <c r="J455" s="44"/>
      <c r="K455" s="95">
        <v>37</v>
      </c>
      <c r="L455" s="49">
        <v>0.01</v>
      </c>
      <c r="M455" s="87">
        <f t="shared" si="10"/>
        <v>37</v>
      </c>
      <c r="N455" s="44" t="s">
        <v>519</v>
      </c>
      <c r="O455" s="104"/>
    </row>
    <row r="456" s="32" customFormat="1" ht="15" spans="1:15">
      <c r="A456" s="44">
        <v>230</v>
      </c>
      <c r="B456" s="44"/>
      <c r="C456" s="44"/>
      <c r="D456" s="44"/>
      <c r="E456" s="44" t="s">
        <v>129</v>
      </c>
      <c r="F456" s="94" t="s">
        <v>908</v>
      </c>
      <c r="G456" s="93" t="s">
        <v>909</v>
      </c>
      <c r="H456" s="94">
        <v>1</v>
      </c>
      <c r="I456" s="44"/>
      <c r="J456" s="44"/>
      <c r="K456" s="95">
        <v>845</v>
      </c>
      <c r="L456" s="49">
        <v>0.01</v>
      </c>
      <c r="M456" s="87">
        <f t="shared" si="10"/>
        <v>845</v>
      </c>
      <c r="N456" s="44" t="s">
        <v>519</v>
      </c>
      <c r="O456" s="104"/>
    </row>
    <row r="457" s="32" customFormat="1" ht="15" spans="1:15">
      <c r="A457" s="44">
        <v>232</v>
      </c>
      <c r="B457" s="44"/>
      <c r="C457" s="44"/>
      <c r="D457" s="44"/>
      <c r="E457" s="44" t="s">
        <v>129</v>
      </c>
      <c r="F457" s="94" t="s">
        <v>910</v>
      </c>
      <c r="G457" s="93" t="s">
        <v>911</v>
      </c>
      <c r="H457" s="94">
        <v>1</v>
      </c>
      <c r="I457" s="44"/>
      <c r="J457" s="44"/>
      <c r="K457" s="95">
        <v>140</v>
      </c>
      <c r="L457" s="49">
        <v>0.01</v>
      </c>
      <c r="M457" s="87">
        <f t="shared" si="10"/>
        <v>140</v>
      </c>
      <c r="N457" s="44" t="s">
        <v>519</v>
      </c>
      <c r="O457" s="104"/>
    </row>
    <row r="458" s="32" customFormat="1" ht="15" spans="1:15">
      <c r="A458" s="44">
        <v>233</v>
      </c>
      <c r="B458" s="44"/>
      <c r="C458" s="44"/>
      <c r="D458" s="44"/>
      <c r="E458" s="44" t="s">
        <v>129</v>
      </c>
      <c r="F458" s="94" t="s">
        <v>912</v>
      </c>
      <c r="G458" s="93"/>
      <c r="H458" s="94">
        <v>4</v>
      </c>
      <c r="I458" s="44"/>
      <c r="J458" s="44"/>
      <c r="K458" s="95">
        <v>55</v>
      </c>
      <c r="L458" s="49">
        <v>0.01</v>
      </c>
      <c r="M458" s="87">
        <f t="shared" si="10"/>
        <v>220</v>
      </c>
      <c r="N458" s="44" t="s">
        <v>519</v>
      </c>
      <c r="O458" s="104"/>
    </row>
    <row r="459" s="32" customFormat="1" ht="15" spans="1:15">
      <c r="A459" s="44">
        <v>234</v>
      </c>
      <c r="B459" s="44"/>
      <c r="C459" s="44"/>
      <c r="D459" s="44"/>
      <c r="E459" s="44" t="s">
        <v>129</v>
      </c>
      <c r="F459" s="94" t="s">
        <v>913</v>
      </c>
      <c r="G459" s="93"/>
      <c r="H459" s="94">
        <v>3</v>
      </c>
      <c r="I459" s="44"/>
      <c r="J459" s="44"/>
      <c r="K459" s="95">
        <v>13</v>
      </c>
      <c r="L459" s="49">
        <v>0.01</v>
      </c>
      <c r="M459" s="87">
        <f t="shared" si="10"/>
        <v>39</v>
      </c>
      <c r="N459" s="44" t="s">
        <v>519</v>
      </c>
      <c r="O459" s="104"/>
    </row>
    <row r="460" s="32" customFormat="1" ht="15" spans="1:15">
      <c r="A460" s="44">
        <v>235</v>
      </c>
      <c r="B460" s="44"/>
      <c r="C460" s="44"/>
      <c r="D460" s="44"/>
      <c r="E460" s="44" t="s">
        <v>129</v>
      </c>
      <c r="F460" s="94" t="s">
        <v>914</v>
      </c>
      <c r="G460" s="93" t="s">
        <v>915</v>
      </c>
      <c r="H460" s="94">
        <v>4</v>
      </c>
      <c r="I460" s="44"/>
      <c r="J460" s="44"/>
      <c r="K460" s="95">
        <v>18</v>
      </c>
      <c r="L460" s="49">
        <v>0.01</v>
      </c>
      <c r="M460" s="87">
        <f t="shared" si="10"/>
        <v>72</v>
      </c>
      <c r="N460" s="44" t="s">
        <v>519</v>
      </c>
      <c r="O460" s="101">
        <v>45951</v>
      </c>
    </row>
    <row r="461" s="32" customFormat="1" ht="15" spans="1:15">
      <c r="A461" s="44">
        <v>236</v>
      </c>
      <c r="B461" s="44"/>
      <c r="C461" s="44"/>
      <c r="D461" s="44"/>
      <c r="E461" s="44" t="s">
        <v>129</v>
      </c>
      <c r="F461" s="94" t="s">
        <v>916</v>
      </c>
      <c r="G461" s="93" t="s">
        <v>566</v>
      </c>
      <c r="H461" s="94">
        <v>1</v>
      </c>
      <c r="I461" s="44"/>
      <c r="J461" s="44"/>
      <c r="K461" s="95">
        <v>55</v>
      </c>
      <c r="L461" s="49">
        <v>0.01</v>
      </c>
      <c r="M461" s="87">
        <f t="shared" si="10"/>
        <v>55</v>
      </c>
      <c r="N461" s="44" t="s">
        <v>519</v>
      </c>
      <c r="O461" s="102"/>
    </row>
    <row r="462" s="32" customFormat="1" ht="15" spans="1:15">
      <c r="A462" s="44">
        <v>237</v>
      </c>
      <c r="B462" s="44"/>
      <c r="C462" s="44"/>
      <c r="D462" s="44"/>
      <c r="E462" s="44" t="s">
        <v>129</v>
      </c>
      <c r="F462" s="94" t="s">
        <v>917</v>
      </c>
      <c r="G462" s="93" t="s">
        <v>918</v>
      </c>
      <c r="H462" s="94">
        <v>1</v>
      </c>
      <c r="I462" s="44"/>
      <c r="J462" s="44"/>
      <c r="K462" s="95">
        <v>29</v>
      </c>
      <c r="L462" s="49">
        <v>0.01</v>
      </c>
      <c r="M462" s="87">
        <f t="shared" si="10"/>
        <v>29</v>
      </c>
      <c r="N462" s="44" t="s">
        <v>519</v>
      </c>
      <c r="O462" s="102"/>
    </row>
    <row r="463" s="32" customFormat="1" ht="15" spans="1:15">
      <c r="A463" s="44">
        <v>238</v>
      </c>
      <c r="B463" s="44"/>
      <c r="C463" s="44"/>
      <c r="D463" s="44"/>
      <c r="E463" s="44" t="s">
        <v>129</v>
      </c>
      <c r="F463" s="94" t="s">
        <v>917</v>
      </c>
      <c r="G463" s="93" t="s">
        <v>919</v>
      </c>
      <c r="H463" s="94">
        <v>1</v>
      </c>
      <c r="I463" s="44"/>
      <c r="J463" s="44"/>
      <c r="K463" s="95">
        <v>17.5</v>
      </c>
      <c r="L463" s="49">
        <v>0.01</v>
      </c>
      <c r="M463" s="87">
        <f t="shared" si="10"/>
        <v>17.5</v>
      </c>
      <c r="N463" s="44" t="s">
        <v>519</v>
      </c>
      <c r="O463" s="102"/>
    </row>
    <row r="464" s="32" customFormat="1" ht="15" spans="1:15">
      <c r="A464" s="44">
        <v>239</v>
      </c>
      <c r="B464" s="44"/>
      <c r="C464" s="44"/>
      <c r="D464" s="44"/>
      <c r="E464" s="44" t="s">
        <v>129</v>
      </c>
      <c r="F464" s="94" t="s">
        <v>920</v>
      </c>
      <c r="G464" s="93" t="s">
        <v>921</v>
      </c>
      <c r="H464" s="94">
        <v>1</v>
      </c>
      <c r="I464" s="44"/>
      <c r="J464" s="44"/>
      <c r="K464" s="95">
        <v>29</v>
      </c>
      <c r="L464" s="49">
        <v>0.01</v>
      </c>
      <c r="M464" s="87">
        <f t="shared" si="10"/>
        <v>29</v>
      </c>
      <c r="N464" s="44" t="s">
        <v>519</v>
      </c>
      <c r="O464" s="102"/>
    </row>
    <row r="465" s="32" customFormat="1" ht="15" spans="1:15">
      <c r="A465" s="44">
        <v>240</v>
      </c>
      <c r="B465" s="44"/>
      <c r="C465" s="44"/>
      <c r="D465" s="44"/>
      <c r="E465" s="44" t="s">
        <v>129</v>
      </c>
      <c r="F465" s="94" t="s">
        <v>922</v>
      </c>
      <c r="G465" s="93" t="s">
        <v>923</v>
      </c>
      <c r="H465" s="94">
        <v>1</v>
      </c>
      <c r="I465" s="44"/>
      <c r="J465" s="44"/>
      <c r="K465" s="95">
        <v>16</v>
      </c>
      <c r="L465" s="49">
        <v>0.01</v>
      </c>
      <c r="M465" s="87">
        <f t="shared" si="10"/>
        <v>16</v>
      </c>
      <c r="N465" s="44" t="s">
        <v>519</v>
      </c>
      <c r="O465" s="102"/>
    </row>
    <row r="466" s="32" customFormat="1" ht="15" spans="1:15">
      <c r="A466" s="44">
        <v>241</v>
      </c>
      <c r="B466" s="44"/>
      <c r="C466" s="44"/>
      <c r="D466" s="44"/>
      <c r="E466" s="44" t="s">
        <v>129</v>
      </c>
      <c r="F466" s="94" t="s">
        <v>924</v>
      </c>
      <c r="G466" s="93" t="s">
        <v>925</v>
      </c>
      <c r="H466" s="94">
        <v>1</v>
      </c>
      <c r="I466" s="44"/>
      <c r="J466" s="44"/>
      <c r="K466" s="95">
        <v>7</v>
      </c>
      <c r="L466" s="49">
        <v>0.01</v>
      </c>
      <c r="M466" s="87">
        <f t="shared" si="10"/>
        <v>7</v>
      </c>
      <c r="N466" s="44" t="s">
        <v>519</v>
      </c>
      <c r="O466" s="102"/>
    </row>
    <row r="467" s="32" customFormat="1" ht="15" spans="1:15">
      <c r="A467" s="44">
        <v>242</v>
      </c>
      <c r="B467" s="44"/>
      <c r="C467" s="44"/>
      <c r="D467" s="44"/>
      <c r="E467" s="44" t="s">
        <v>129</v>
      </c>
      <c r="F467" s="94" t="s">
        <v>926</v>
      </c>
      <c r="G467" s="93" t="s">
        <v>927</v>
      </c>
      <c r="H467" s="94">
        <v>1</v>
      </c>
      <c r="I467" s="44"/>
      <c r="J467" s="44"/>
      <c r="K467" s="95">
        <v>14</v>
      </c>
      <c r="L467" s="49">
        <v>0.01</v>
      </c>
      <c r="M467" s="87">
        <f t="shared" si="10"/>
        <v>14</v>
      </c>
      <c r="N467" s="44" t="s">
        <v>519</v>
      </c>
      <c r="O467" s="102"/>
    </row>
    <row r="468" s="32" customFormat="1" ht="15" spans="1:15">
      <c r="A468" s="44">
        <v>243</v>
      </c>
      <c r="B468" s="44"/>
      <c r="C468" s="44"/>
      <c r="D468" s="44"/>
      <c r="E468" s="44" t="s">
        <v>129</v>
      </c>
      <c r="F468" s="94" t="s">
        <v>928</v>
      </c>
      <c r="G468" s="93" t="s">
        <v>929</v>
      </c>
      <c r="H468" s="94">
        <v>2</v>
      </c>
      <c r="I468" s="44"/>
      <c r="J468" s="44"/>
      <c r="K468" s="95">
        <v>3</v>
      </c>
      <c r="L468" s="49">
        <v>0.01</v>
      </c>
      <c r="M468" s="87">
        <f t="shared" si="10"/>
        <v>6</v>
      </c>
      <c r="N468" s="44" t="s">
        <v>519</v>
      </c>
      <c r="O468" s="102"/>
    </row>
    <row r="469" s="32" customFormat="1" ht="15" spans="1:15">
      <c r="A469" s="44">
        <v>244</v>
      </c>
      <c r="B469" s="44"/>
      <c r="C469" s="44"/>
      <c r="D469" s="44"/>
      <c r="E469" s="44" t="s">
        <v>129</v>
      </c>
      <c r="F469" s="94" t="s">
        <v>928</v>
      </c>
      <c r="G469" s="93" t="s">
        <v>930</v>
      </c>
      <c r="H469" s="94">
        <v>2</v>
      </c>
      <c r="I469" s="44"/>
      <c r="J469" s="44"/>
      <c r="K469" s="95">
        <v>7.5</v>
      </c>
      <c r="L469" s="49">
        <v>0.01</v>
      </c>
      <c r="M469" s="87">
        <f t="shared" si="10"/>
        <v>15</v>
      </c>
      <c r="N469" s="44" t="s">
        <v>519</v>
      </c>
      <c r="O469" s="102"/>
    </row>
    <row r="470" s="32" customFormat="1" ht="15" spans="1:15">
      <c r="A470" s="44">
        <v>245</v>
      </c>
      <c r="B470" s="44"/>
      <c r="C470" s="44"/>
      <c r="D470" s="44"/>
      <c r="E470" s="44" t="s">
        <v>129</v>
      </c>
      <c r="F470" s="94" t="s">
        <v>931</v>
      </c>
      <c r="G470" s="93" t="s">
        <v>932</v>
      </c>
      <c r="H470" s="94">
        <v>4</v>
      </c>
      <c r="I470" s="44"/>
      <c r="J470" s="44"/>
      <c r="K470" s="95">
        <v>14.3</v>
      </c>
      <c r="L470" s="49">
        <v>0.01</v>
      </c>
      <c r="M470" s="87">
        <f t="shared" si="10"/>
        <v>57.2</v>
      </c>
      <c r="N470" s="44" t="s">
        <v>519</v>
      </c>
      <c r="O470" s="102"/>
    </row>
    <row r="471" s="32" customFormat="1" ht="15" spans="1:15">
      <c r="A471" s="44">
        <v>246</v>
      </c>
      <c r="B471" s="44"/>
      <c r="C471" s="44"/>
      <c r="D471" s="44"/>
      <c r="E471" s="44" t="s">
        <v>129</v>
      </c>
      <c r="F471" s="94" t="s">
        <v>538</v>
      </c>
      <c r="G471" s="93"/>
      <c r="H471" s="94">
        <v>1</v>
      </c>
      <c r="I471" s="44"/>
      <c r="J471" s="44"/>
      <c r="K471" s="95">
        <v>755</v>
      </c>
      <c r="L471" s="49">
        <v>0.01</v>
      </c>
      <c r="M471" s="87">
        <f t="shared" si="10"/>
        <v>755</v>
      </c>
      <c r="N471" s="44" t="s">
        <v>519</v>
      </c>
      <c r="O471" s="102"/>
    </row>
    <row r="472" s="32" customFormat="1" ht="15" spans="1:15">
      <c r="A472" s="44">
        <v>247</v>
      </c>
      <c r="B472" s="44"/>
      <c r="C472" s="44"/>
      <c r="D472" s="44"/>
      <c r="E472" s="44" t="s">
        <v>129</v>
      </c>
      <c r="F472" s="94" t="s">
        <v>933</v>
      </c>
      <c r="G472" s="93" t="s">
        <v>934</v>
      </c>
      <c r="H472" s="94">
        <v>4</v>
      </c>
      <c r="I472" s="44"/>
      <c r="J472" s="44"/>
      <c r="K472" s="95">
        <v>34</v>
      </c>
      <c r="L472" s="49">
        <v>0.01</v>
      </c>
      <c r="M472" s="87">
        <f t="shared" si="10"/>
        <v>136</v>
      </c>
      <c r="N472" s="44" t="s">
        <v>519</v>
      </c>
      <c r="O472" s="102"/>
    </row>
    <row r="473" s="32" customFormat="1" ht="15" spans="1:15">
      <c r="A473" s="44">
        <v>248</v>
      </c>
      <c r="B473" s="44"/>
      <c r="C473" s="44"/>
      <c r="D473" s="44"/>
      <c r="E473" s="44" t="s">
        <v>129</v>
      </c>
      <c r="F473" s="94" t="s">
        <v>754</v>
      </c>
      <c r="G473" s="93" t="s">
        <v>935</v>
      </c>
      <c r="H473" s="94">
        <v>10</v>
      </c>
      <c r="I473" s="44"/>
      <c r="J473" s="44"/>
      <c r="K473" s="95">
        <v>18.5</v>
      </c>
      <c r="L473" s="49">
        <v>0.01</v>
      </c>
      <c r="M473" s="87">
        <f t="shared" si="10"/>
        <v>185</v>
      </c>
      <c r="N473" s="44" t="s">
        <v>519</v>
      </c>
      <c r="O473" s="102"/>
    </row>
    <row r="474" s="32" customFormat="1" ht="15" spans="1:15">
      <c r="A474" s="44">
        <v>249</v>
      </c>
      <c r="B474" s="44"/>
      <c r="C474" s="44"/>
      <c r="D474" s="44"/>
      <c r="E474" s="44" t="s">
        <v>129</v>
      </c>
      <c r="F474" s="94" t="s">
        <v>936</v>
      </c>
      <c r="G474" s="93" t="s">
        <v>937</v>
      </c>
      <c r="H474" s="94">
        <v>1</v>
      </c>
      <c r="I474" s="44"/>
      <c r="J474" s="44"/>
      <c r="K474" s="95">
        <v>37.8</v>
      </c>
      <c r="L474" s="49">
        <v>0.01</v>
      </c>
      <c r="M474" s="87">
        <f t="shared" si="10"/>
        <v>37.8</v>
      </c>
      <c r="N474" s="44" t="s">
        <v>519</v>
      </c>
      <c r="O474" s="102"/>
    </row>
    <row r="475" s="32" customFormat="1" ht="15" spans="1:15">
      <c r="A475" s="44">
        <v>250</v>
      </c>
      <c r="B475" s="44"/>
      <c r="C475" s="44"/>
      <c r="D475" s="44"/>
      <c r="E475" s="44" t="s">
        <v>129</v>
      </c>
      <c r="F475" s="94" t="s">
        <v>938</v>
      </c>
      <c r="G475" s="93" t="s">
        <v>939</v>
      </c>
      <c r="H475" s="94">
        <v>1</v>
      </c>
      <c r="I475" s="44"/>
      <c r="J475" s="44"/>
      <c r="K475" s="95">
        <v>275</v>
      </c>
      <c r="L475" s="49">
        <v>0.01</v>
      </c>
      <c r="M475" s="87">
        <f t="shared" si="10"/>
        <v>275</v>
      </c>
      <c r="N475" s="44" t="s">
        <v>519</v>
      </c>
      <c r="O475" s="102"/>
    </row>
    <row r="476" s="32" customFormat="1" ht="15" spans="1:15">
      <c r="A476" s="44">
        <v>251</v>
      </c>
      <c r="B476" s="44"/>
      <c r="C476" s="44"/>
      <c r="D476" s="44"/>
      <c r="E476" s="44" t="s">
        <v>129</v>
      </c>
      <c r="F476" s="94" t="s">
        <v>940</v>
      </c>
      <c r="G476" s="93" t="s">
        <v>941</v>
      </c>
      <c r="H476" s="94">
        <v>3</v>
      </c>
      <c r="I476" s="44"/>
      <c r="J476" s="44"/>
      <c r="K476" s="95">
        <v>39</v>
      </c>
      <c r="L476" s="49">
        <v>0.01</v>
      </c>
      <c r="M476" s="87">
        <f t="shared" si="10"/>
        <v>117</v>
      </c>
      <c r="N476" s="44" t="s">
        <v>519</v>
      </c>
      <c r="O476" s="102"/>
    </row>
    <row r="477" s="32" customFormat="1" ht="15" spans="1:15">
      <c r="A477" s="44">
        <v>252</v>
      </c>
      <c r="B477" s="44"/>
      <c r="C477" s="44"/>
      <c r="D477" s="44"/>
      <c r="E477" s="44" t="s">
        <v>129</v>
      </c>
      <c r="F477" s="94" t="s">
        <v>853</v>
      </c>
      <c r="G477" s="93" t="s">
        <v>942</v>
      </c>
      <c r="H477" s="94">
        <v>7</v>
      </c>
      <c r="I477" s="44"/>
      <c r="J477" s="44"/>
      <c r="K477" s="95">
        <v>28</v>
      </c>
      <c r="L477" s="49">
        <v>0.01</v>
      </c>
      <c r="M477" s="87">
        <f t="shared" si="10"/>
        <v>196</v>
      </c>
      <c r="N477" s="44" t="s">
        <v>519</v>
      </c>
      <c r="O477" s="103"/>
    </row>
    <row r="478" s="32" customFormat="1" ht="15" spans="1:15">
      <c r="A478" s="44">
        <v>253</v>
      </c>
      <c r="B478" s="44"/>
      <c r="C478" s="44"/>
      <c r="D478" s="44"/>
      <c r="E478" s="44" t="s">
        <v>129</v>
      </c>
      <c r="F478" s="94" t="s">
        <v>943</v>
      </c>
      <c r="G478" s="93" t="s">
        <v>944</v>
      </c>
      <c r="H478" s="94">
        <v>1</v>
      </c>
      <c r="I478" s="44"/>
      <c r="J478" s="44"/>
      <c r="K478" s="95">
        <v>6</v>
      </c>
      <c r="L478" s="49">
        <v>0.01</v>
      </c>
      <c r="M478" s="87">
        <f t="shared" si="10"/>
        <v>6</v>
      </c>
      <c r="N478" s="44" t="s">
        <v>519</v>
      </c>
      <c r="O478" s="101">
        <v>45952</v>
      </c>
    </row>
    <row r="479" s="32" customFormat="1" ht="15" spans="1:15">
      <c r="A479" s="44">
        <v>254</v>
      </c>
      <c r="B479" s="44"/>
      <c r="C479" s="44"/>
      <c r="D479" s="44"/>
      <c r="E479" s="44" t="s">
        <v>129</v>
      </c>
      <c r="F479" s="94" t="s">
        <v>945</v>
      </c>
      <c r="G479" s="93" t="s">
        <v>946</v>
      </c>
      <c r="H479" s="94">
        <v>3</v>
      </c>
      <c r="I479" s="44"/>
      <c r="J479" s="44"/>
      <c r="K479" s="95">
        <v>27</v>
      </c>
      <c r="L479" s="49">
        <v>0.01</v>
      </c>
      <c r="M479" s="87">
        <f t="shared" si="10"/>
        <v>81</v>
      </c>
      <c r="N479" s="44" t="s">
        <v>519</v>
      </c>
      <c r="O479" s="102"/>
    </row>
    <row r="480" s="32" customFormat="1" ht="15" spans="1:15">
      <c r="A480" s="44">
        <v>255</v>
      </c>
      <c r="B480" s="44"/>
      <c r="C480" s="44"/>
      <c r="D480" s="44"/>
      <c r="E480" s="44" t="s">
        <v>129</v>
      </c>
      <c r="F480" s="94" t="s">
        <v>945</v>
      </c>
      <c r="G480" s="93" t="s">
        <v>947</v>
      </c>
      <c r="H480" s="94">
        <v>3</v>
      </c>
      <c r="I480" s="44"/>
      <c r="J480" s="44"/>
      <c r="K480" s="95">
        <v>14</v>
      </c>
      <c r="L480" s="49">
        <v>0.01</v>
      </c>
      <c r="M480" s="87">
        <f t="shared" si="10"/>
        <v>42</v>
      </c>
      <c r="N480" s="44" t="s">
        <v>519</v>
      </c>
      <c r="O480" s="102"/>
    </row>
    <row r="481" s="32" customFormat="1" ht="15" spans="1:15">
      <c r="A481" s="44">
        <v>256</v>
      </c>
      <c r="B481" s="44"/>
      <c r="C481" s="44"/>
      <c r="D481" s="44"/>
      <c r="E481" s="44" t="s">
        <v>129</v>
      </c>
      <c r="F481" s="94" t="s">
        <v>948</v>
      </c>
      <c r="G481" s="93" t="s">
        <v>949</v>
      </c>
      <c r="H481" s="94">
        <v>1</v>
      </c>
      <c r="I481" s="44"/>
      <c r="J481" s="44"/>
      <c r="K481" s="95">
        <v>13</v>
      </c>
      <c r="L481" s="49">
        <v>0.01</v>
      </c>
      <c r="M481" s="87">
        <f t="shared" si="10"/>
        <v>13</v>
      </c>
      <c r="N481" s="44" t="s">
        <v>519</v>
      </c>
      <c r="O481" s="102"/>
    </row>
    <row r="482" s="32" customFormat="1" ht="15" spans="1:15">
      <c r="A482" s="44">
        <v>257</v>
      </c>
      <c r="B482" s="44"/>
      <c r="C482" s="44"/>
      <c r="D482" s="44"/>
      <c r="E482" s="44" t="s">
        <v>129</v>
      </c>
      <c r="F482" s="94" t="s">
        <v>948</v>
      </c>
      <c r="G482" s="93" t="s">
        <v>950</v>
      </c>
      <c r="H482" s="94">
        <v>1</v>
      </c>
      <c r="I482" s="44"/>
      <c r="J482" s="44"/>
      <c r="K482" s="95">
        <v>14</v>
      </c>
      <c r="L482" s="49">
        <v>0.01</v>
      </c>
      <c r="M482" s="87">
        <f t="shared" si="10"/>
        <v>14</v>
      </c>
      <c r="N482" s="44" t="s">
        <v>519</v>
      </c>
      <c r="O482" s="102"/>
    </row>
    <row r="483" s="32" customFormat="1" ht="15" spans="1:15">
      <c r="A483" s="44">
        <v>258</v>
      </c>
      <c r="B483" s="44"/>
      <c r="C483" s="44"/>
      <c r="D483" s="44"/>
      <c r="E483" s="44" t="s">
        <v>129</v>
      </c>
      <c r="F483" s="94" t="s">
        <v>948</v>
      </c>
      <c r="G483" s="93" t="s">
        <v>951</v>
      </c>
      <c r="H483" s="94">
        <v>1</v>
      </c>
      <c r="I483" s="44"/>
      <c r="J483" s="44"/>
      <c r="K483" s="95">
        <v>17</v>
      </c>
      <c r="L483" s="49">
        <v>0.01</v>
      </c>
      <c r="M483" s="87">
        <f t="shared" ref="M483:M546" si="11">H483*K483</f>
        <v>17</v>
      </c>
      <c r="N483" s="44" t="s">
        <v>519</v>
      </c>
      <c r="O483" s="103"/>
    </row>
    <row r="484" s="32" customFormat="1" ht="15" spans="1:15">
      <c r="A484" s="44">
        <v>259</v>
      </c>
      <c r="B484" s="44"/>
      <c r="C484" s="44"/>
      <c r="D484" s="44"/>
      <c r="E484" s="44" t="s">
        <v>129</v>
      </c>
      <c r="F484" s="94" t="s">
        <v>952</v>
      </c>
      <c r="G484" s="93" t="s">
        <v>953</v>
      </c>
      <c r="H484" s="94">
        <v>1</v>
      </c>
      <c r="I484" s="44"/>
      <c r="J484" s="44"/>
      <c r="K484" s="95">
        <v>150</v>
      </c>
      <c r="L484" s="49">
        <v>0.01</v>
      </c>
      <c r="M484" s="87">
        <f t="shared" si="11"/>
        <v>150</v>
      </c>
      <c r="N484" s="44" t="s">
        <v>519</v>
      </c>
      <c r="O484" s="101">
        <v>45953</v>
      </c>
    </row>
    <row r="485" s="32" customFormat="1" ht="15" spans="1:15">
      <c r="A485" s="44">
        <v>260</v>
      </c>
      <c r="B485" s="44"/>
      <c r="C485" s="44"/>
      <c r="D485" s="44"/>
      <c r="E485" s="44" t="s">
        <v>129</v>
      </c>
      <c r="F485" s="94" t="s">
        <v>938</v>
      </c>
      <c r="G485" s="93" t="s">
        <v>954</v>
      </c>
      <c r="H485" s="94">
        <v>2</v>
      </c>
      <c r="I485" s="44"/>
      <c r="J485" s="44"/>
      <c r="K485" s="95">
        <v>295</v>
      </c>
      <c r="L485" s="49">
        <v>0.01</v>
      </c>
      <c r="M485" s="87">
        <f t="shared" si="11"/>
        <v>590</v>
      </c>
      <c r="N485" s="44" t="s">
        <v>519</v>
      </c>
      <c r="O485" s="102"/>
    </row>
    <row r="486" s="32" customFormat="1" ht="15" spans="1:15">
      <c r="A486" s="44">
        <v>261</v>
      </c>
      <c r="B486" s="44"/>
      <c r="C486" s="44"/>
      <c r="D486" s="44"/>
      <c r="E486" s="44" t="s">
        <v>129</v>
      </c>
      <c r="F486" s="94" t="s">
        <v>955</v>
      </c>
      <c r="G486" s="93" t="s">
        <v>956</v>
      </c>
      <c r="H486" s="94">
        <v>16</v>
      </c>
      <c r="I486" s="44"/>
      <c r="J486" s="44"/>
      <c r="K486" s="95">
        <v>14</v>
      </c>
      <c r="L486" s="49">
        <v>0.01</v>
      </c>
      <c r="M486" s="87">
        <f t="shared" si="11"/>
        <v>224</v>
      </c>
      <c r="N486" s="44" t="s">
        <v>519</v>
      </c>
      <c r="O486" s="102"/>
    </row>
    <row r="487" s="32" customFormat="1" ht="15" spans="1:15">
      <c r="A487" s="44">
        <v>262</v>
      </c>
      <c r="B487" s="44"/>
      <c r="C487" s="44"/>
      <c r="D487" s="44"/>
      <c r="E487" s="44" t="s">
        <v>129</v>
      </c>
      <c r="F487" s="94" t="s">
        <v>910</v>
      </c>
      <c r="G487" s="93" t="s">
        <v>957</v>
      </c>
      <c r="H487" s="94">
        <v>1</v>
      </c>
      <c r="I487" s="44"/>
      <c r="J487" s="44"/>
      <c r="K487" s="95">
        <v>118</v>
      </c>
      <c r="L487" s="49">
        <v>0.01</v>
      </c>
      <c r="M487" s="87">
        <f t="shared" si="11"/>
        <v>118</v>
      </c>
      <c r="N487" s="44" t="s">
        <v>519</v>
      </c>
      <c r="O487" s="102"/>
    </row>
    <row r="488" s="32" customFormat="1" ht="15" spans="1:15">
      <c r="A488" s="44">
        <v>263</v>
      </c>
      <c r="B488" s="44"/>
      <c r="C488" s="44"/>
      <c r="D488" s="44"/>
      <c r="E488" s="44" t="s">
        <v>129</v>
      </c>
      <c r="F488" s="94" t="s">
        <v>958</v>
      </c>
      <c r="G488" s="93"/>
      <c r="H488" s="94">
        <v>1</v>
      </c>
      <c r="I488" s="44"/>
      <c r="J488" s="44"/>
      <c r="K488" s="95">
        <v>296</v>
      </c>
      <c r="L488" s="49">
        <v>0.01</v>
      </c>
      <c r="M488" s="87">
        <f t="shared" si="11"/>
        <v>296</v>
      </c>
      <c r="N488" s="44" t="s">
        <v>519</v>
      </c>
      <c r="O488" s="102"/>
    </row>
    <row r="489" s="32" customFormat="1" ht="15" spans="1:15">
      <c r="A489" s="44">
        <v>264</v>
      </c>
      <c r="B489" s="44"/>
      <c r="C489" s="44"/>
      <c r="D489" s="44"/>
      <c r="E489" s="44" t="s">
        <v>129</v>
      </c>
      <c r="F489" s="94" t="s">
        <v>959</v>
      </c>
      <c r="G489" s="93" t="s">
        <v>960</v>
      </c>
      <c r="H489" s="94">
        <v>1</v>
      </c>
      <c r="I489" s="44"/>
      <c r="J489" s="44"/>
      <c r="K489" s="95">
        <v>10</v>
      </c>
      <c r="L489" s="49">
        <v>0.01</v>
      </c>
      <c r="M489" s="87">
        <f t="shared" si="11"/>
        <v>10</v>
      </c>
      <c r="N489" s="44" t="s">
        <v>519</v>
      </c>
      <c r="O489" s="102"/>
    </row>
    <row r="490" s="32" customFormat="1" ht="15" spans="1:15">
      <c r="A490" s="44">
        <v>265</v>
      </c>
      <c r="B490" s="44"/>
      <c r="C490" s="44"/>
      <c r="D490" s="44"/>
      <c r="E490" s="44" t="s">
        <v>129</v>
      </c>
      <c r="F490" s="94" t="s">
        <v>636</v>
      </c>
      <c r="G490" s="93" t="s">
        <v>960</v>
      </c>
      <c r="H490" s="94">
        <v>1</v>
      </c>
      <c r="I490" s="44"/>
      <c r="J490" s="44"/>
      <c r="K490" s="95">
        <v>18</v>
      </c>
      <c r="L490" s="49">
        <v>0.01</v>
      </c>
      <c r="M490" s="87">
        <f t="shared" si="11"/>
        <v>18</v>
      </c>
      <c r="N490" s="44" t="s">
        <v>519</v>
      </c>
      <c r="O490" s="102"/>
    </row>
    <row r="491" s="32" customFormat="1" ht="15" spans="1:15">
      <c r="A491" s="44">
        <v>266</v>
      </c>
      <c r="B491" s="44"/>
      <c r="C491" s="44"/>
      <c r="D491" s="44"/>
      <c r="E491" s="44" t="s">
        <v>129</v>
      </c>
      <c r="F491" s="94" t="s">
        <v>961</v>
      </c>
      <c r="G491" s="93"/>
      <c r="H491" s="94">
        <v>1</v>
      </c>
      <c r="I491" s="44"/>
      <c r="J491" s="44"/>
      <c r="K491" s="95">
        <v>32</v>
      </c>
      <c r="L491" s="49">
        <v>0.01</v>
      </c>
      <c r="M491" s="87">
        <f t="shared" si="11"/>
        <v>32</v>
      </c>
      <c r="N491" s="44" t="s">
        <v>519</v>
      </c>
      <c r="O491" s="102"/>
    </row>
    <row r="492" s="32" customFormat="1" ht="15" spans="1:15">
      <c r="A492" s="44">
        <v>267</v>
      </c>
      <c r="B492" s="44"/>
      <c r="C492" s="44"/>
      <c r="D492" s="44"/>
      <c r="E492" s="44" t="s">
        <v>129</v>
      </c>
      <c r="F492" s="94" t="s">
        <v>962</v>
      </c>
      <c r="G492" s="93" t="s">
        <v>963</v>
      </c>
      <c r="H492" s="94">
        <v>1</v>
      </c>
      <c r="I492" s="44"/>
      <c r="J492" s="44"/>
      <c r="K492" s="95">
        <v>52</v>
      </c>
      <c r="L492" s="49">
        <v>0.01</v>
      </c>
      <c r="M492" s="87">
        <f t="shared" si="11"/>
        <v>52</v>
      </c>
      <c r="N492" s="44" t="s">
        <v>519</v>
      </c>
      <c r="O492" s="102"/>
    </row>
    <row r="493" s="32" customFormat="1" ht="15" spans="1:15">
      <c r="A493" s="44">
        <v>268</v>
      </c>
      <c r="B493" s="44"/>
      <c r="C493" s="44"/>
      <c r="D493" s="44"/>
      <c r="E493" s="44" t="s">
        <v>129</v>
      </c>
      <c r="F493" s="94" t="s">
        <v>638</v>
      </c>
      <c r="G493" s="93" t="s">
        <v>964</v>
      </c>
      <c r="H493" s="94">
        <v>1</v>
      </c>
      <c r="I493" s="44"/>
      <c r="J493" s="44"/>
      <c r="K493" s="95">
        <v>96</v>
      </c>
      <c r="L493" s="49">
        <v>0.01</v>
      </c>
      <c r="M493" s="87">
        <f t="shared" si="11"/>
        <v>96</v>
      </c>
      <c r="N493" s="44" t="s">
        <v>519</v>
      </c>
      <c r="O493" s="103"/>
    </row>
    <row r="494" s="32" customFormat="1" ht="15" spans="1:15">
      <c r="A494" s="44">
        <v>269</v>
      </c>
      <c r="B494" s="44"/>
      <c r="C494" s="44"/>
      <c r="D494" s="44"/>
      <c r="E494" s="44" t="s">
        <v>129</v>
      </c>
      <c r="F494" s="93" t="s">
        <v>965</v>
      </c>
      <c r="G494" s="93" t="s">
        <v>966</v>
      </c>
      <c r="H494" s="94">
        <v>1</v>
      </c>
      <c r="I494" s="44"/>
      <c r="J494" s="44"/>
      <c r="K494" s="95">
        <v>55</v>
      </c>
      <c r="L494" s="49">
        <v>0.01</v>
      </c>
      <c r="M494" s="87">
        <f t="shared" si="11"/>
        <v>55</v>
      </c>
      <c r="N494" s="44" t="s">
        <v>519</v>
      </c>
      <c r="O494" s="101">
        <v>45954</v>
      </c>
    </row>
    <row r="495" s="32" customFormat="1" ht="15" spans="1:15">
      <c r="A495" s="44">
        <v>270</v>
      </c>
      <c r="B495" s="44"/>
      <c r="C495" s="44"/>
      <c r="D495" s="44"/>
      <c r="E495" s="44" t="s">
        <v>129</v>
      </c>
      <c r="F495" s="94" t="s">
        <v>967</v>
      </c>
      <c r="G495" s="93" t="s">
        <v>968</v>
      </c>
      <c r="H495" s="94">
        <v>1</v>
      </c>
      <c r="I495" s="44"/>
      <c r="J495" s="44"/>
      <c r="K495" s="95">
        <v>80</v>
      </c>
      <c r="L495" s="49">
        <v>0.01</v>
      </c>
      <c r="M495" s="87">
        <f t="shared" si="11"/>
        <v>80</v>
      </c>
      <c r="N495" s="44" t="s">
        <v>519</v>
      </c>
      <c r="O495" s="102"/>
    </row>
    <row r="496" s="32" customFormat="1" ht="15" spans="1:15">
      <c r="A496" s="44">
        <v>271</v>
      </c>
      <c r="B496" s="44"/>
      <c r="C496" s="44"/>
      <c r="D496" s="44"/>
      <c r="E496" s="44" t="s">
        <v>129</v>
      </c>
      <c r="F496" s="94" t="s">
        <v>969</v>
      </c>
      <c r="G496" s="93" t="s">
        <v>970</v>
      </c>
      <c r="H496" s="94">
        <v>2</v>
      </c>
      <c r="I496" s="44"/>
      <c r="J496" s="44"/>
      <c r="K496" s="95">
        <v>8</v>
      </c>
      <c r="L496" s="49">
        <v>0.01</v>
      </c>
      <c r="M496" s="87">
        <f t="shared" si="11"/>
        <v>16</v>
      </c>
      <c r="N496" s="44" t="s">
        <v>519</v>
      </c>
      <c r="O496" s="102"/>
    </row>
    <row r="497" s="32" customFormat="1" ht="15" spans="1:15">
      <c r="A497" s="44">
        <v>272</v>
      </c>
      <c r="B497" s="44"/>
      <c r="C497" s="44"/>
      <c r="D497" s="44"/>
      <c r="E497" s="44" t="s">
        <v>129</v>
      </c>
      <c r="F497" s="94" t="s">
        <v>971</v>
      </c>
      <c r="G497" s="93" t="s">
        <v>972</v>
      </c>
      <c r="H497" s="94">
        <v>1</v>
      </c>
      <c r="I497" s="44"/>
      <c r="J497" s="44"/>
      <c r="K497" s="95">
        <v>475</v>
      </c>
      <c r="L497" s="49">
        <v>0.01</v>
      </c>
      <c r="M497" s="87">
        <f t="shared" si="11"/>
        <v>475</v>
      </c>
      <c r="N497" s="44" t="s">
        <v>519</v>
      </c>
      <c r="O497" s="102"/>
    </row>
    <row r="498" s="32" customFormat="1" ht="15" spans="1:15">
      <c r="A498" s="44">
        <v>273</v>
      </c>
      <c r="B498" s="44"/>
      <c r="C498" s="44"/>
      <c r="D498" s="44"/>
      <c r="E498" s="44" t="s">
        <v>129</v>
      </c>
      <c r="F498" s="94" t="s">
        <v>973</v>
      </c>
      <c r="G498" s="93" t="s">
        <v>974</v>
      </c>
      <c r="H498" s="94">
        <v>1</v>
      </c>
      <c r="I498" s="44"/>
      <c r="J498" s="44"/>
      <c r="K498" s="95">
        <v>570</v>
      </c>
      <c r="L498" s="49">
        <v>0.01</v>
      </c>
      <c r="M498" s="87">
        <f t="shared" si="11"/>
        <v>570</v>
      </c>
      <c r="N498" s="44" t="s">
        <v>519</v>
      </c>
      <c r="O498" s="101">
        <v>45957</v>
      </c>
    </row>
    <row r="499" s="32" customFormat="1" ht="15" spans="1:15">
      <c r="A499" s="44">
        <v>274</v>
      </c>
      <c r="B499" s="44"/>
      <c r="C499" s="44"/>
      <c r="D499" s="44"/>
      <c r="E499" s="44" t="s">
        <v>129</v>
      </c>
      <c r="F499" s="94" t="s">
        <v>973</v>
      </c>
      <c r="G499" s="93" t="s">
        <v>975</v>
      </c>
      <c r="H499" s="94">
        <v>1</v>
      </c>
      <c r="I499" s="44"/>
      <c r="J499" s="44"/>
      <c r="K499" s="94">
        <v>355</v>
      </c>
      <c r="L499" s="49">
        <v>0.01</v>
      </c>
      <c r="M499" s="87">
        <f t="shared" si="11"/>
        <v>355</v>
      </c>
      <c r="N499" s="44" t="s">
        <v>519</v>
      </c>
      <c r="O499" s="102"/>
    </row>
    <row r="500" s="32" customFormat="1" ht="15" spans="1:15">
      <c r="A500" s="44">
        <v>275</v>
      </c>
      <c r="B500" s="44"/>
      <c r="C500" s="44"/>
      <c r="D500" s="44"/>
      <c r="E500" s="44" t="s">
        <v>129</v>
      </c>
      <c r="F500" s="94" t="s">
        <v>976</v>
      </c>
      <c r="G500" s="93" t="s">
        <v>977</v>
      </c>
      <c r="H500" s="94">
        <v>1</v>
      </c>
      <c r="I500" s="44"/>
      <c r="J500" s="44"/>
      <c r="K500" s="94">
        <v>44</v>
      </c>
      <c r="L500" s="49">
        <v>0.01</v>
      </c>
      <c r="M500" s="87">
        <f t="shared" si="11"/>
        <v>44</v>
      </c>
      <c r="N500" s="44" t="s">
        <v>519</v>
      </c>
      <c r="O500" s="102"/>
    </row>
    <row r="501" s="32" customFormat="1" ht="15" spans="1:15">
      <c r="A501" s="44">
        <v>276</v>
      </c>
      <c r="B501" s="44"/>
      <c r="C501" s="44"/>
      <c r="D501" s="44"/>
      <c r="E501" s="44" t="s">
        <v>129</v>
      </c>
      <c r="F501" s="94" t="s">
        <v>806</v>
      </c>
      <c r="G501" s="93" t="s">
        <v>978</v>
      </c>
      <c r="H501" s="94">
        <v>100</v>
      </c>
      <c r="I501" s="44"/>
      <c r="J501" s="44"/>
      <c r="K501" s="94">
        <v>1.65</v>
      </c>
      <c r="L501" s="49">
        <v>0.01</v>
      </c>
      <c r="M501" s="87">
        <f t="shared" si="11"/>
        <v>165</v>
      </c>
      <c r="N501" s="44" t="s">
        <v>519</v>
      </c>
      <c r="O501" s="102"/>
    </row>
    <row r="502" s="32" customFormat="1" ht="15" spans="1:15">
      <c r="A502" s="44">
        <v>277</v>
      </c>
      <c r="B502" s="44"/>
      <c r="C502" s="44"/>
      <c r="D502" s="44"/>
      <c r="E502" s="44" t="s">
        <v>129</v>
      </c>
      <c r="F502" s="94" t="s">
        <v>734</v>
      </c>
      <c r="G502" s="93"/>
      <c r="H502" s="94">
        <v>40</v>
      </c>
      <c r="I502" s="44"/>
      <c r="J502" s="44"/>
      <c r="K502" s="95">
        <v>23</v>
      </c>
      <c r="L502" s="49">
        <v>0.01</v>
      </c>
      <c r="M502" s="87">
        <f t="shared" si="11"/>
        <v>920</v>
      </c>
      <c r="N502" s="44" t="s">
        <v>519</v>
      </c>
      <c r="O502" s="103"/>
    </row>
    <row r="503" s="32" customFormat="1" ht="15" spans="1:15">
      <c r="A503" s="44">
        <v>278</v>
      </c>
      <c r="B503" s="44"/>
      <c r="C503" s="44"/>
      <c r="D503" s="44"/>
      <c r="E503" s="44" t="s">
        <v>129</v>
      </c>
      <c r="F503" s="94" t="s">
        <v>600</v>
      </c>
      <c r="G503" s="93" t="s">
        <v>979</v>
      </c>
      <c r="H503" s="94">
        <v>100</v>
      </c>
      <c r="I503" s="44"/>
      <c r="J503" s="44"/>
      <c r="K503" s="95">
        <v>2.5</v>
      </c>
      <c r="L503" s="49">
        <v>0.01</v>
      </c>
      <c r="M503" s="87">
        <f t="shared" si="11"/>
        <v>250</v>
      </c>
      <c r="N503" s="44" t="s">
        <v>519</v>
      </c>
      <c r="O503" s="101">
        <v>45958</v>
      </c>
    </row>
    <row r="504" s="32" customFormat="1" ht="15" spans="1:15">
      <c r="A504" s="44">
        <v>279</v>
      </c>
      <c r="B504" s="44"/>
      <c r="C504" s="44"/>
      <c r="D504" s="44"/>
      <c r="E504" s="44" t="s">
        <v>129</v>
      </c>
      <c r="F504" s="94" t="s">
        <v>851</v>
      </c>
      <c r="G504" s="93" t="s">
        <v>980</v>
      </c>
      <c r="H504" s="94">
        <v>5</v>
      </c>
      <c r="I504" s="44"/>
      <c r="J504" s="44"/>
      <c r="K504" s="95">
        <v>10</v>
      </c>
      <c r="L504" s="49">
        <v>0.01</v>
      </c>
      <c r="M504" s="87">
        <f t="shared" si="11"/>
        <v>50</v>
      </c>
      <c r="N504" s="44" t="s">
        <v>519</v>
      </c>
      <c r="O504" s="102"/>
    </row>
    <row r="505" s="32" customFormat="1" ht="15" spans="1:15">
      <c r="A505" s="44">
        <v>280</v>
      </c>
      <c r="B505" s="44"/>
      <c r="C505" s="44"/>
      <c r="D505" s="44"/>
      <c r="E505" s="44" t="s">
        <v>129</v>
      </c>
      <c r="F505" s="94" t="s">
        <v>981</v>
      </c>
      <c r="G505" s="93"/>
      <c r="H505" s="94">
        <v>3</v>
      </c>
      <c r="I505" s="44"/>
      <c r="J505" s="44"/>
      <c r="K505" s="95">
        <v>8</v>
      </c>
      <c r="L505" s="49">
        <v>0.01</v>
      </c>
      <c r="M505" s="87">
        <f t="shared" si="11"/>
        <v>24</v>
      </c>
      <c r="N505" s="44" t="s">
        <v>519</v>
      </c>
      <c r="O505" s="102"/>
    </row>
    <row r="506" s="32" customFormat="1" ht="15" spans="1:15">
      <c r="A506" s="44">
        <v>281</v>
      </c>
      <c r="B506" s="44"/>
      <c r="C506" s="44"/>
      <c r="D506" s="44"/>
      <c r="E506" s="44" t="s">
        <v>129</v>
      </c>
      <c r="F506" s="94" t="s">
        <v>982</v>
      </c>
      <c r="G506" s="93" t="s">
        <v>983</v>
      </c>
      <c r="H506" s="94">
        <v>1</v>
      </c>
      <c r="I506" s="44"/>
      <c r="J506" s="44"/>
      <c r="K506" s="95">
        <v>15</v>
      </c>
      <c r="L506" s="49">
        <v>0.01</v>
      </c>
      <c r="M506" s="87">
        <f t="shared" si="11"/>
        <v>15</v>
      </c>
      <c r="N506" s="44" t="s">
        <v>519</v>
      </c>
      <c r="O506" s="102"/>
    </row>
    <row r="507" s="32" customFormat="1" ht="15" spans="1:15">
      <c r="A507" s="44">
        <v>282</v>
      </c>
      <c r="B507" s="44"/>
      <c r="C507" s="44"/>
      <c r="D507" s="44"/>
      <c r="E507" s="44" t="s">
        <v>129</v>
      </c>
      <c r="F507" s="94" t="s">
        <v>984</v>
      </c>
      <c r="G507" s="93" t="s">
        <v>985</v>
      </c>
      <c r="H507" s="94">
        <v>1</v>
      </c>
      <c r="I507" s="44"/>
      <c r="J507" s="44"/>
      <c r="K507" s="95">
        <v>40</v>
      </c>
      <c r="L507" s="49">
        <v>0.01</v>
      </c>
      <c r="M507" s="87">
        <f t="shared" si="11"/>
        <v>40</v>
      </c>
      <c r="N507" s="44" t="s">
        <v>519</v>
      </c>
      <c r="O507" s="102"/>
    </row>
    <row r="508" s="32" customFormat="1" ht="15" spans="1:15">
      <c r="A508" s="44">
        <v>283</v>
      </c>
      <c r="B508" s="44"/>
      <c r="C508" s="44"/>
      <c r="D508" s="44"/>
      <c r="E508" s="44" t="s">
        <v>129</v>
      </c>
      <c r="F508" s="94" t="s">
        <v>986</v>
      </c>
      <c r="G508" s="93" t="s">
        <v>987</v>
      </c>
      <c r="H508" s="94">
        <v>1</v>
      </c>
      <c r="I508" s="44"/>
      <c r="J508" s="44"/>
      <c r="K508" s="95">
        <v>18</v>
      </c>
      <c r="L508" s="49">
        <v>0.01</v>
      </c>
      <c r="M508" s="87">
        <f t="shared" si="11"/>
        <v>18</v>
      </c>
      <c r="N508" s="44" t="s">
        <v>519</v>
      </c>
      <c r="O508" s="103"/>
    </row>
    <row r="509" s="32" customFormat="1" ht="15" spans="1:15">
      <c r="A509" s="44">
        <v>284</v>
      </c>
      <c r="B509" s="44"/>
      <c r="C509" s="44"/>
      <c r="D509" s="44"/>
      <c r="E509" s="44" t="s">
        <v>129</v>
      </c>
      <c r="F509" s="94" t="s">
        <v>988</v>
      </c>
      <c r="G509" s="93"/>
      <c r="H509" s="94">
        <v>1</v>
      </c>
      <c r="I509" s="44"/>
      <c r="J509" s="44"/>
      <c r="K509" s="95">
        <v>20</v>
      </c>
      <c r="L509" s="49">
        <v>0.01</v>
      </c>
      <c r="M509" s="87">
        <f t="shared" si="11"/>
        <v>20</v>
      </c>
      <c r="N509" s="44" t="s">
        <v>519</v>
      </c>
      <c r="O509" s="101">
        <v>45959</v>
      </c>
    </row>
    <row r="510" s="32" customFormat="1" ht="15" spans="1:15">
      <c r="A510" s="44">
        <v>285</v>
      </c>
      <c r="B510" s="44"/>
      <c r="C510" s="44"/>
      <c r="D510" s="44"/>
      <c r="E510" s="44" t="s">
        <v>129</v>
      </c>
      <c r="F510" s="94" t="s">
        <v>831</v>
      </c>
      <c r="G510" s="93" t="s">
        <v>989</v>
      </c>
      <c r="H510" s="94">
        <v>5</v>
      </c>
      <c r="I510" s="44"/>
      <c r="J510" s="44"/>
      <c r="K510" s="95">
        <v>4</v>
      </c>
      <c r="L510" s="49">
        <v>0.01</v>
      </c>
      <c r="M510" s="87">
        <f t="shared" si="11"/>
        <v>20</v>
      </c>
      <c r="N510" s="44" t="s">
        <v>519</v>
      </c>
      <c r="O510" s="102"/>
    </row>
    <row r="511" s="32" customFormat="1" ht="15" spans="1:15">
      <c r="A511" s="44">
        <v>286</v>
      </c>
      <c r="B511" s="44"/>
      <c r="C511" s="44"/>
      <c r="D511" s="44"/>
      <c r="E511" s="44" t="s">
        <v>129</v>
      </c>
      <c r="F511" s="94" t="s">
        <v>831</v>
      </c>
      <c r="G511" s="93" t="s">
        <v>990</v>
      </c>
      <c r="H511" s="94">
        <v>5</v>
      </c>
      <c r="I511" s="44"/>
      <c r="J511" s="44"/>
      <c r="K511" s="95">
        <v>3.5</v>
      </c>
      <c r="L511" s="49">
        <v>0.01</v>
      </c>
      <c r="M511" s="87">
        <f t="shared" si="11"/>
        <v>17.5</v>
      </c>
      <c r="N511" s="44" t="s">
        <v>519</v>
      </c>
      <c r="O511" s="102"/>
    </row>
    <row r="512" s="32" customFormat="1" ht="15" spans="1:15">
      <c r="A512" s="44">
        <v>287</v>
      </c>
      <c r="B512" s="44"/>
      <c r="C512" s="44"/>
      <c r="D512" s="44"/>
      <c r="E512" s="44" t="s">
        <v>129</v>
      </c>
      <c r="F512" s="94" t="s">
        <v>831</v>
      </c>
      <c r="G512" s="93" t="s">
        <v>991</v>
      </c>
      <c r="H512" s="94">
        <v>10</v>
      </c>
      <c r="I512" s="44"/>
      <c r="J512" s="44"/>
      <c r="K512" s="95">
        <v>3</v>
      </c>
      <c r="L512" s="49">
        <v>0.01</v>
      </c>
      <c r="M512" s="87">
        <f t="shared" si="11"/>
        <v>30</v>
      </c>
      <c r="N512" s="44" t="s">
        <v>519</v>
      </c>
      <c r="O512" s="102"/>
    </row>
    <row r="513" s="32" customFormat="1" ht="15" spans="1:15">
      <c r="A513" s="44">
        <v>288</v>
      </c>
      <c r="B513" s="44"/>
      <c r="C513" s="44"/>
      <c r="D513" s="44"/>
      <c r="E513" s="44" t="s">
        <v>129</v>
      </c>
      <c r="F513" s="94" t="s">
        <v>831</v>
      </c>
      <c r="G513" s="93" t="s">
        <v>992</v>
      </c>
      <c r="H513" s="94">
        <v>15</v>
      </c>
      <c r="I513" s="44"/>
      <c r="J513" s="44"/>
      <c r="K513" s="95">
        <v>2.8</v>
      </c>
      <c r="L513" s="49">
        <v>0.01</v>
      </c>
      <c r="M513" s="87">
        <f t="shared" si="11"/>
        <v>42</v>
      </c>
      <c r="N513" s="44" t="s">
        <v>519</v>
      </c>
      <c r="O513" s="102"/>
    </row>
    <row r="514" s="32" customFormat="1" ht="15" spans="1:15">
      <c r="A514" s="44">
        <v>289</v>
      </c>
      <c r="B514" s="44"/>
      <c r="C514" s="44"/>
      <c r="D514" s="44"/>
      <c r="E514" s="44" t="s">
        <v>129</v>
      </c>
      <c r="F514" s="94" t="s">
        <v>831</v>
      </c>
      <c r="G514" s="93" t="s">
        <v>993</v>
      </c>
      <c r="H514" s="94">
        <v>2</v>
      </c>
      <c r="I514" s="44"/>
      <c r="J514" s="44"/>
      <c r="K514" s="95">
        <v>5.5</v>
      </c>
      <c r="L514" s="49">
        <v>0.01</v>
      </c>
      <c r="M514" s="87">
        <f t="shared" si="11"/>
        <v>11</v>
      </c>
      <c r="N514" s="44" t="s">
        <v>519</v>
      </c>
      <c r="O514" s="102"/>
    </row>
    <row r="515" s="32" customFormat="1" ht="15" spans="1:15">
      <c r="A515" s="44">
        <v>290</v>
      </c>
      <c r="B515" s="44"/>
      <c r="C515" s="44"/>
      <c r="D515" s="44"/>
      <c r="E515" s="44" t="s">
        <v>129</v>
      </c>
      <c r="F515" s="94" t="s">
        <v>831</v>
      </c>
      <c r="G515" s="93" t="s">
        <v>994</v>
      </c>
      <c r="H515" s="94">
        <v>5</v>
      </c>
      <c r="I515" s="44"/>
      <c r="J515" s="44"/>
      <c r="K515" s="95">
        <v>3</v>
      </c>
      <c r="L515" s="49">
        <v>0.01</v>
      </c>
      <c r="M515" s="87">
        <f t="shared" si="11"/>
        <v>15</v>
      </c>
      <c r="N515" s="44" t="s">
        <v>519</v>
      </c>
      <c r="O515" s="102"/>
    </row>
    <row r="516" s="32" customFormat="1" ht="15" spans="1:15">
      <c r="A516" s="44">
        <v>291</v>
      </c>
      <c r="B516" s="44"/>
      <c r="C516" s="44"/>
      <c r="D516" s="44"/>
      <c r="E516" s="44" t="s">
        <v>129</v>
      </c>
      <c r="F516" s="94" t="s">
        <v>831</v>
      </c>
      <c r="G516" s="93" t="s">
        <v>995</v>
      </c>
      <c r="H516" s="94">
        <v>5</v>
      </c>
      <c r="I516" s="44"/>
      <c r="J516" s="44"/>
      <c r="K516" s="95">
        <v>2.8</v>
      </c>
      <c r="L516" s="49">
        <v>0.01</v>
      </c>
      <c r="M516" s="87">
        <f t="shared" si="11"/>
        <v>14</v>
      </c>
      <c r="N516" s="44" t="s">
        <v>519</v>
      </c>
      <c r="O516" s="102"/>
    </row>
    <row r="517" s="32" customFormat="1" ht="15" spans="1:15">
      <c r="A517" s="44">
        <v>292</v>
      </c>
      <c r="B517" s="44"/>
      <c r="C517" s="44"/>
      <c r="D517" s="44"/>
      <c r="E517" s="44" t="s">
        <v>129</v>
      </c>
      <c r="F517" s="94" t="s">
        <v>996</v>
      </c>
      <c r="G517" s="93" t="s">
        <v>997</v>
      </c>
      <c r="H517" s="94">
        <v>3</v>
      </c>
      <c r="I517" s="44"/>
      <c r="J517" s="44"/>
      <c r="K517" s="95">
        <v>42</v>
      </c>
      <c r="L517" s="49">
        <v>0.01</v>
      </c>
      <c r="M517" s="87">
        <f t="shared" si="11"/>
        <v>126</v>
      </c>
      <c r="N517" s="44" t="s">
        <v>519</v>
      </c>
      <c r="O517" s="102"/>
    </row>
    <row r="518" s="32" customFormat="1" ht="15" spans="1:15">
      <c r="A518" s="44">
        <v>293</v>
      </c>
      <c r="B518" s="44"/>
      <c r="C518" s="44"/>
      <c r="D518" s="44"/>
      <c r="E518" s="44" t="s">
        <v>129</v>
      </c>
      <c r="F518" s="94" t="s">
        <v>623</v>
      </c>
      <c r="G518" s="93" t="s">
        <v>998</v>
      </c>
      <c r="H518" s="94">
        <v>1</v>
      </c>
      <c r="I518" s="44"/>
      <c r="J518" s="44"/>
      <c r="K518" s="95">
        <v>39.5</v>
      </c>
      <c r="L518" s="49">
        <v>0.01</v>
      </c>
      <c r="M518" s="87">
        <f t="shared" si="11"/>
        <v>39.5</v>
      </c>
      <c r="N518" s="44" t="s">
        <v>519</v>
      </c>
      <c r="O518" s="102"/>
    </row>
    <row r="519" s="32" customFormat="1" ht="15" spans="1:15">
      <c r="A519" s="44">
        <v>294</v>
      </c>
      <c r="B519" s="44"/>
      <c r="C519" s="44"/>
      <c r="D519" s="44"/>
      <c r="E519" s="44" t="s">
        <v>129</v>
      </c>
      <c r="F519" s="94" t="s">
        <v>999</v>
      </c>
      <c r="G519" s="93" t="s">
        <v>1000</v>
      </c>
      <c r="H519" s="94">
        <v>1</v>
      </c>
      <c r="I519" s="44"/>
      <c r="J519" s="44"/>
      <c r="K519" s="95">
        <v>815</v>
      </c>
      <c r="L519" s="49">
        <v>0.01</v>
      </c>
      <c r="M519" s="87">
        <f t="shared" si="11"/>
        <v>815</v>
      </c>
      <c r="N519" s="44" t="s">
        <v>519</v>
      </c>
      <c r="O519" s="103"/>
    </row>
    <row r="520" s="32" customFormat="1" ht="15" spans="1:15">
      <c r="A520" s="44">
        <v>295</v>
      </c>
      <c r="B520" s="44"/>
      <c r="C520" s="44"/>
      <c r="D520" s="44"/>
      <c r="E520" s="44" t="s">
        <v>129</v>
      </c>
      <c r="F520" s="94" t="s">
        <v>1001</v>
      </c>
      <c r="G520" s="93" t="s">
        <v>1002</v>
      </c>
      <c r="H520" s="94">
        <v>1</v>
      </c>
      <c r="I520" s="44"/>
      <c r="J520" s="44"/>
      <c r="K520" s="95">
        <v>170</v>
      </c>
      <c r="L520" s="49">
        <v>0.01</v>
      </c>
      <c r="M520" s="87">
        <f t="shared" si="11"/>
        <v>170</v>
      </c>
      <c r="N520" s="44" t="s">
        <v>519</v>
      </c>
      <c r="O520" s="104">
        <v>45960</v>
      </c>
    </row>
    <row r="521" s="32" customFormat="1" ht="15" spans="1:15">
      <c r="A521" s="44">
        <v>296</v>
      </c>
      <c r="B521" s="44"/>
      <c r="C521" s="44"/>
      <c r="D521" s="44"/>
      <c r="E521" s="44" t="s">
        <v>129</v>
      </c>
      <c r="F521" s="94" t="s">
        <v>1003</v>
      </c>
      <c r="G521" s="93" t="s">
        <v>1004</v>
      </c>
      <c r="H521" s="94">
        <v>3</v>
      </c>
      <c r="I521" s="44"/>
      <c r="J521" s="44"/>
      <c r="K521" s="95">
        <v>18</v>
      </c>
      <c r="L521" s="49">
        <v>0.01</v>
      </c>
      <c r="M521" s="87">
        <f t="shared" si="11"/>
        <v>54</v>
      </c>
      <c r="N521" s="44" t="s">
        <v>519</v>
      </c>
      <c r="O521" s="104"/>
    </row>
    <row r="522" s="32" customFormat="1" ht="15" spans="1:15">
      <c r="A522" s="44">
        <v>297</v>
      </c>
      <c r="B522" s="44"/>
      <c r="C522" s="44"/>
      <c r="D522" s="44"/>
      <c r="E522" s="44" t="s">
        <v>129</v>
      </c>
      <c r="F522" s="94" t="s">
        <v>1005</v>
      </c>
      <c r="G522" s="93" t="s">
        <v>1006</v>
      </c>
      <c r="H522" s="94">
        <v>1</v>
      </c>
      <c r="I522" s="44"/>
      <c r="J522" s="44"/>
      <c r="K522" s="95">
        <v>145</v>
      </c>
      <c r="L522" s="49">
        <v>0.01</v>
      </c>
      <c r="M522" s="87">
        <f t="shared" si="11"/>
        <v>145</v>
      </c>
      <c r="N522" s="44" t="s">
        <v>519</v>
      </c>
      <c r="O522" s="104">
        <v>45961</v>
      </c>
    </row>
    <row r="523" s="32" customFormat="1" ht="15" spans="1:15">
      <c r="A523" s="44">
        <v>298</v>
      </c>
      <c r="B523" s="44"/>
      <c r="C523" s="44"/>
      <c r="D523" s="44"/>
      <c r="E523" s="44" t="s">
        <v>129</v>
      </c>
      <c r="F523" s="94" t="s">
        <v>1007</v>
      </c>
      <c r="G523" s="93" t="s">
        <v>1008</v>
      </c>
      <c r="H523" s="94">
        <v>2</v>
      </c>
      <c r="I523" s="44"/>
      <c r="J523" s="44"/>
      <c r="K523" s="95">
        <v>48</v>
      </c>
      <c r="L523" s="49">
        <v>0.01</v>
      </c>
      <c r="M523" s="87">
        <f t="shared" si="11"/>
        <v>96</v>
      </c>
      <c r="N523" s="44" t="s">
        <v>519</v>
      </c>
      <c r="O523" s="104"/>
    </row>
    <row r="524" s="32" customFormat="1" ht="15" spans="1:15">
      <c r="A524" s="44">
        <v>299</v>
      </c>
      <c r="B524" s="44"/>
      <c r="C524" s="44"/>
      <c r="D524" s="44"/>
      <c r="E524" s="44" t="s">
        <v>129</v>
      </c>
      <c r="F524" s="94" t="s">
        <v>1009</v>
      </c>
      <c r="G524" s="93" t="s">
        <v>1010</v>
      </c>
      <c r="H524" s="94">
        <v>1</v>
      </c>
      <c r="I524" s="44"/>
      <c r="J524" s="44"/>
      <c r="K524" s="95">
        <v>53</v>
      </c>
      <c r="L524" s="49">
        <v>0.01</v>
      </c>
      <c r="M524" s="87">
        <f t="shared" si="11"/>
        <v>53</v>
      </c>
      <c r="N524" s="44" t="s">
        <v>519</v>
      </c>
      <c r="O524" s="104"/>
    </row>
    <row r="525" s="32" customFormat="1" ht="15" spans="1:15">
      <c r="A525" s="44">
        <v>300</v>
      </c>
      <c r="B525" s="44"/>
      <c r="C525" s="44"/>
      <c r="D525" s="44"/>
      <c r="E525" s="44" t="s">
        <v>129</v>
      </c>
      <c r="F525" s="94" t="s">
        <v>1011</v>
      </c>
      <c r="G525" s="93" t="s">
        <v>1012</v>
      </c>
      <c r="H525" s="94">
        <v>1</v>
      </c>
      <c r="I525" s="44"/>
      <c r="J525" s="44"/>
      <c r="K525" s="95">
        <v>205</v>
      </c>
      <c r="L525" s="49">
        <v>0.01</v>
      </c>
      <c r="M525" s="87">
        <f t="shared" si="11"/>
        <v>205</v>
      </c>
      <c r="N525" s="44" t="s">
        <v>519</v>
      </c>
      <c r="O525" s="104"/>
    </row>
    <row r="526" s="32" customFormat="1" ht="15" spans="1:15">
      <c r="A526" s="44">
        <v>301</v>
      </c>
      <c r="B526" s="44"/>
      <c r="C526" s="44"/>
      <c r="D526" s="44"/>
      <c r="E526" s="76" t="s">
        <v>129</v>
      </c>
      <c r="F526" s="105" t="s">
        <v>1013</v>
      </c>
      <c r="G526" s="96" t="s">
        <v>1014</v>
      </c>
      <c r="H526" s="105">
        <v>1</v>
      </c>
      <c r="I526" s="44"/>
      <c r="J526" s="44"/>
      <c r="K526" s="106">
        <v>24</v>
      </c>
      <c r="L526" s="79">
        <v>0.01</v>
      </c>
      <c r="M526" s="107">
        <f t="shared" si="11"/>
        <v>24</v>
      </c>
      <c r="N526" s="76" t="s">
        <v>519</v>
      </c>
      <c r="O526" s="104"/>
    </row>
    <row r="527" s="32" customFormat="1" ht="15" spans="1:15">
      <c r="A527" s="44">
        <v>302</v>
      </c>
      <c r="B527" s="44"/>
      <c r="C527" s="44"/>
      <c r="D527" s="44"/>
      <c r="E527" s="76" t="s">
        <v>129</v>
      </c>
      <c r="F527" s="94" t="s">
        <v>1015</v>
      </c>
      <c r="G527" s="93" t="s">
        <v>1016</v>
      </c>
      <c r="H527" s="94">
        <v>1</v>
      </c>
      <c r="I527" s="44"/>
      <c r="J527" s="44"/>
      <c r="K527" s="95">
        <v>2300</v>
      </c>
      <c r="L527" s="79">
        <v>0.01</v>
      </c>
      <c r="M527" s="107">
        <f t="shared" si="11"/>
        <v>2300</v>
      </c>
      <c r="N527" s="76" t="s">
        <v>519</v>
      </c>
      <c r="O527" s="101">
        <v>45965</v>
      </c>
    </row>
    <row r="528" s="32" customFormat="1" ht="15" spans="1:15">
      <c r="A528" s="44">
        <v>303</v>
      </c>
      <c r="B528" s="44"/>
      <c r="C528" s="44"/>
      <c r="D528" s="44"/>
      <c r="E528" s="76" t="s">
        <v>129</v>
      </c>
      <c r="F528" s="94" t="s">
        <v>1017</v>
      </c>
      <c r="G528" s="93" t="s">
        <v>1018</v>
      </c>
      <c r="H528" s="94">
        <v>1</v>
      </c>
      <c r="I528" s="44"/>
      <c r="J528" s="44"/>
      <c r="K528" s="95">
        <v>720</v>
      </c>
      <c r="L528" s="79">
        <v>0.01</v>
      </c>
      <c r="M528" s="107">
        <f t="shared" si="11"/>
        <v>720</v>
      </c>
      <c r="N528" s="76" t="s">
        <v>519</v>
      </c>
      <c r="O528" s="102"/>
    </row>
    <row r="529" s="32" customFormat="1" ht="15" spans="1:15">
      <c r="A529" s="44">
        <v>304</v>
      </c>
      <c r="B529" s="44"/>
      <c r="C529" s="44"/>
      <c r="D529" s="44"/>
      <c r="E529" s="76" t="s">
        <v>129</v>
      </c>
      <c r="F529" s="94" t="s">
        <v>1019</v>
      </c>
      <c r="G529" s="93" t="s">
        <v>1020</v>
      </c>
      <c r="H529" s="94">
        <v>1</v>
      </c>
      <c r="I529" s="44"/>
      <c r="J529" s="44"/>
      <c r="K529" s="95">
        <v>10</v>
      </c>
      <c r="L529" s="79">
        <v>0.01</v>
      </c>
      <c r="M529" s="107">
        <f t="shared" si="11"/>
        <v>10</v>
      </c>
      <c r="N529" s="76" t="s">
        <v>519</v>
      </c>
      <c r="O529" s="102"/>
    </row>
    <row r="530" s="32" customFormat="1" ht="15" spans="1:15">
      <c r="A530" s="44">
        <v>305</v>
      </c>
      <c r="B530" s="44"/>
      <c r="C530" s="44"/>
      <c r="D530" s="44"/>
      <c r="E530" s="76" t="s">
        <v>129</v>
      </c>
      <c r="F530" s="94" t="s">
        <v>1021</v>
      </c>
      <c r="G530" s="93" t="s">
        <v>1022</v>
      </c>
      <c r="H530" s="94">
        <v>2</v>
      </c>
      <c r="I530" s="44"/>
      <c r="J530" s="44"/>
      <c r="K530" s="95">
        <v>20</v>
      </c>
      <c r="L530" s="79">
        <v>0.01</v>
      </c>
      <c r="M530" s="107">
        <f t="shared" si="11"/>
        <v>40</v>
      </c>
      <c r="N530" s="76" t="s">
        <v>519</v>
      </c>
      <c r="O530" s="102"/>
    </row>
    <row r="531" s="32" customFormat="1" ht="15" spans="1:15">
      <c r="A531" s="44">
        <v>306</v>
      </c>
      <c r="B531" s="44"/>
      <c r="C531" s="44"/>
      <c r="D531" s="44"/>
      <c r="E531" s="76" t="s">
        <v>129</v>
      </c>
      <c r="F531" s="94" t="s">
        <v>871</v>
      </c>
      <c r="G531" s="93" t="s">
        <v>1023</v>
      </c>
      <c r="H531" s="94">
        <v>3</v>
      </c>
      <c r="I531" s="44"/>
      <c r="J531" s="44"/>
      <c r="K531" s="95">
        <v>23</v>
      </c>
      <c r="L531" s="79">
        <v>0.01</v>
      </c>
      <c r="M531" s="107">
        <f t="shared" si="11"/>
        <v>69</v>
      </c>
      <c r="N531" s="76" t="s">
        <v>519</v>
      </c>
      <c r="O531" s="102"/>
    </row>
    <row r="532" s="32" customFormat="1" ht="15" spans="1:15">
      <c r="A532" s="44">
        <v>307</v>
      </c>
      <c r="B532" s="44"/>
      <c r="C532" s="44"/>
      <c r="D532" s="44"/>
      <c r="E532" s="76" t="s">
        <v>129</v>
      </c>
      <c r="F532" s="94" t="s">
        <v>1024</v>
      </c>
      <c r="G532" s="93" t="s">
        <v>1025</v>
      </c>
      <c r="H532" s="94">
        <v>1</v>
      </c>
      <c r="I532" s="44"/>
      <c r="J532" s="44"/>
      <c r="K532" s="95">
        <v>130</v>
      </c>
      <c r="L532" s="79">
        <v>0.01</v>
      </c>
      <c r="M532" s="107">
        <f t="shared" si="11"/>
        <v>130</v>
      </c>
      <c r="N532" s="76" t="s">
        <v>519</v>
      </c>
      <c r="O532" s="103"/>
    </row>
    <row r="533" s="32" customFormat="1" ht="15" spans="1:15">
      <c r="A533" s="44">
        <v>308</v>
      </c>
      <c r="B533" s="44"/>
      <c r="C533" s="44"/>
      <c r="D533" s="44"/>
      <c r="E533" s="76" t="s">
        <v>129</v>
      </c>
      <c r="F533" s="94" t="s">
        <v>1026</v>
      </c>
      <c r="G533" s="93"/>
      <c r="H533" s="94">
        <v>1</v>
      </c>
      <c r="I533" s="44"/>
      <c r="J533" s="44"/>
      <c r="K533" s="95">
        <v>15</v>
      </c>
      <c r="L533" s="79">
        <v>0.01</v>
      </c>
      <c r="M533" s="107">
        <f t="shared" si="11"/>
        <v>15</v>
      </c>
      <c r="N533" s="76" t="s">
        <v>519</v>
      </c>
      <c r="O533" s="102">
        <v>45967</v>
      </c>
    </row>
    <row r="534" s="32" customFormat="1" ht="15" spans="1:15">
      <c r="A534" s="44">
        <v>309</v>
      </c>
      <c r="B534" s="44"/>
      <c r="C534" s="44"/>
      <c r="D534" s="44"/>
      <c r="E534" s="76" t="s">
        <v>129</v>
      </c>
      <c r="F534" s="94" t="s">
        <v>1027</v>
      </c>
      <c r="G534" s="93" t="s">
        <v>1028</v>
      </c>
      <c r="H534" s="94">
        <v>1</v>
      </c>
      <c r="I534" s="44"/>
      <c r="J534" s="44"/>
      <c r="K534" s="95">
        <v>386</v>
      </c>
      <c r="L534" s="79">
        <v>0.01</v>
      </c>
      <c r="M534" s="107">
        <f t="shared" si="11"/>
        <v>386</v>
      </c>
      <c r="N534" s="76" t="s">
        <v>519</v>
      </c>
      <c r="O534" s="103"/>
    </row>
    <row r="535" s="32" customFormat="1" ht="15" spans="1:15">
      <c r="A535" s="44">
        <v>310</v>
      </c>
      <c r="B535" s="44"/>
      <c r="C535" s="44"/>
      <c r="D535" s="44"/>
      <c r="E535" s="76" t="s">
        <v>129</v>
      </c>
      <c r="F535" s="94" t="s">
        <v>1029</v>
      </c>
      <c r="G535" s="93" t="s">
        <v>1030</v>
      </c>
      <c r="H535" s="94">
        <v>2</v>
      </c>
      <c r="I535" s="44"/>
      <c r="J535" s="44"/>
      <c r="K535" s="95">
        <v>45</v>
      </c>
      <c r="L535" s="79">
        <v>0.01</v>
      </c>
      <c r="M535" s="107">
        <f t="shared" si="11"/>
        <v>90</v>
      </c>
      <c r="N535" s="76" t="s">
        <v>519</v>
      </c>
      <c r="O535" s="101">
        <v>45968</v>
      </c>
    </row>
    <row r="536" s="32" customFormat="1" ht="15" spans="1:15">
      <c r="A536" s="44">
        <v>311</v>
      </c>
      <c r="B536" s="44"/>
      <c r="C536" s="44"/>
      <c r="D536" s="44"/>
      <c r="E536" s="76" t="s">
        <v>129</v>
      </c>
      <c r="F536" s="94" t="s">
        <v>1031</v>
      </c>
      <c r="G536" s="93"/>
      <c r="H536" s="94">
        <v>5</v>
      </c>
      <c r="I536" s="44"/>
      <c r="J536" s="44"/>
      <c r="K536" s="95">
        <v>30</v>
      </c>
      <c r="L536" s="79">
        <v>0.01</v>
      </c>
      <c r="M536" s="107">
        <f t="shared" si="11"/>
        <v>150</v>
      </c>
      <c r="N536" s="76" t="s">
        <v>519</v>
      </c>
      <c r="O536" s="102"/>
    </row>
    <row r="537" s="32" customFormat="1" ht="15" spans="1:15">
      <c r="A537" s="44">
        <v>312</v>
      </c>
      <c r="B537" s="44"/>
      <c r="C537" s="44"/>
      <c r="D537" s="44"/>
      <c r="E537" s="76" t="s">
        <v>129</v>
      </c>
      <c r="F537" s="94" t="s">
        <v>648</v>
      </c>
      <c r="G537" s="93" t="s">
        <v>1032</v>
      </c>
      <c r="H537" s="94">
        <v>5</v>
      </c>
      <c r="I537" s="44"/>
      <c r="J537" s="44"/>
      <c r="K537" s="95">
        <v>29</v>
      </c>
      <c r="L537" s="79">
        <v>0.01</v>
      </c>
      <c r="M537" s="107">
        <f t="shared" si="11"/>
        <v>145</v>
      </c>
      <c r="N537" s="76" t="s">
        <v>519</v>
      </c>
      <c r="O537" s="102"/>
    </row>
    <row r="538" s="32" customFormat="1" ht="15" spans="1:15">
      <c r="A538" s="44">
        <v>313</v>
      </c>
      <c r="B538" s="44"/>
      <c r="C538" s="44"/>
      <c r="D538" s="44"/>
      <c r="E538" s="76" t="s">
        <v>129</v>
      </c>
      <c r="F538" s="94" t="s">
        <v>898</v>
      </c>
      <c r="G538" s="93" t="s">
        <v>1033</v>
      </c>
      <c r="H538" s="94">
        <v>6</v>
      </c>
      <c r="I538" s="44"/>
      <c r="J538" s="44"/>
      <c r="K538" s="95">
        <v>11</v>
      </c>
      <c r="L538" s="79">
        <v>0.01</v>
      </c>
      <c r="M538" s="107">
        <f t="shared" si="11"/>
        <v>66</v>
      </c>
      <c r="N538" s="76" t="s">
        <v>519</v>
      </c>
      <c r="O538" s="102"/>
    </row>
    <row r="539" s="32" customFormat="1" ht="15" spans="1:15">
      <c r="A539" s="44">
        <v>314</v>
      </c>
      <c r="B539" s="44"/>
      <c r="C539" s="44"/>
      <c r="D539" s="44"/>
      <c r="E539" s="76" t="s">
        <v>129</v>
      </c>
      <c r="F539" s="94" t="s">
        <v>1034</v>
      </c>
      <c r="G539" s="93" t="s">
        <v>1035</v>
      </c>
      <c r="H539" s="94">
        <v>1</v>
      </c>
      <c r="I539" s="44"/>
      <c r="J539" s="44"/>
      <c r="K539" s="95">
        <v>15</v>
      </c>
      <c r="L539" s="79">
        <v>0.01</v>
      </c>
      <c r="M539" s="107">
        <f t="shared" si="11"/>
        <v>15</v>
      </c>
      <c r="N539" s="76" t="s">
        <v>519</v>
      </c>
      <c r="O539" s="102"/>
    </row>
    <row r="540" s="32" customFormat="1" ht="15" spans="1:15">
      <c r="A540" s="44">
        <v>315</v>
      </c>
      <c r="B540" s="44"/>
      <c r="C540" s="44"/>
      <c r="D540" s="44"/>
      <c r="E540" s="76" t="s">
        <v>129</v>
      </c>
      <c r="F540" s="94" t="s">
        <v>1036</v>
      </c>
      <c r="G540" s="93" t="s">
        <v>1037</v>
      </c>
      <c r="H540" s="94">
        <v>6</v>
      </c>
      <c r="I540" s="44"/>
      <c r="J540" s="44"/>
      <c r="K540" s="95">
        <v>5.5</v>
      </c>
      <c r="L540" s="79">
        <v>0.01</v>
      </c>
      <c r="M540" s="107">
        <f t="shared" si="11"/>
        <v>33</v>
      </c>
      <c r="N540" s="76" t="s">
        <v>519</v>
      </c>
      <c r="O540" s="102"/>
    </row>
    <row r="541" s="32" customFormat="1" ht="15" spans="1:15">
      <c r="A541" s="44">
        <v>316</v>
      </c>
      <c r="B541" s="44"/>
      <c r="C541" s="44"/>
      <c r="D541" s="44"/>
      <c r="E541" s="76" t="s">
        <v>129</v>
      </c>
      <c r="F541" s="94" t="s">
        <v>776</v>
      </c>
      <c r="G541" s="93" t="s">
        <v>777</v>
      </c>
      <c r="H541" s="94">
        <v>1</v>
      </c>
      <c r="I541" s="44"/>
      <c r="J541" s="44"/>
      <c r="K541" s="95">
        <v>42</v>
      </c>
      <c r="L541" s="79">
        <v>0.01</v>
      </c>
      <c r="M541" s="107">
        <f t="shared" si="11"/>
        <v>42</v>
      </c>
      <c r="N541" s="76" t="s">
        <v>519</v>
      </c>
      <c r="O541" s="102"/>
    </row>
    <row r="542" s="32" customFormat="1" ht="15" spans="1:15">
      <c r="A542" s="44">
        <v>317</v>
      </c>
      <c r="B542" s="44"/>
      <c r="C542" s="44"/>
      <c r="D542" s="44"/>
      <c r="E542" s="76" t="s">
        <v>129</v>
      </c>
      <c r="F542" s="94" t="s">
        <v>776</v>
      </c>
      <c r="G542" s="93" t="s">
        <v>1038</v>
      </c>
      <c r="H542" s="94">
        <v>1</v>
      </c>
      <c r="I542" s="44"/>
      <c r="J542" s="44"/>
      <c r="K542" s="95">
        <v>12</v>
      </c>
      <c r="L542" s="79">
        <v>0.01</v>
      </c>
      <c r="M542" s="107">
        <f t="shared" si="11"/>
        <v>12</v>
      </c>
      <c r="N542" s="76" t="s">
        <v>519</v>
      </c>
      <c r="O542" s="101">
        <v>45971</v>
      </c>
    </row>
    <row r="543" s="32" customFormat="1" ht="15" spans="1:15">
      <c r="A543" s="44">
        <v>318</v>
      </c>
      <c r="B543" s="44"/>
      <c r="C543" s="44"/>
      <c r="D543" s="44"/>
      <c r="E543" s="76" t="s">
        <v>129</v>
      </c>
      <c r="F543" s="94" t="s">
        <v>1039</v>
      </c>
      <c r="G543" s="93" t="s">
        <v>1040</v>
      </c>
      <c r="H543" s="94">
        <v>2</v>
      </c>
      <c r="I543" s="44"/>
      <c r="J543" s="44"/>
      <c r="K543" s="95">
        <v>5</v>
      </c>
      <c r="L543" s="79">
        <v>0.01</v>
      </c>
      <c r="M543" s="107">
        <f t="shared" si="11"/>
        <v>10</v>
      </c>
      <c r="N543" s="76" t="s">
        <v>519</v>
      </c>
      <c r="O543" s="102"/>
    </row>
    <row r="544" s="32" customFormat="1" ht="15" spans="1:15">
      <c r="A544" s="44">
        <v>319</v>
      </c>
      <c r="B544" s="44"/>
      <c r="C544" s="44"/>
      <c r="D544" s="44"/>
      <c r="E544" s="76" t="s">
        <v>129</v>
      </c>
      <c r="F544" s="94" t="s">
        <v>1041</v>
      </c>
      <c r="G544" s="93" t="s">
        <v>1042</v>
      </c>
      <c r="H544" s="94">
        <v>1</v>
      </c>
      <c r="I544" s="44"/>
      <c r="J544" s="44"/>
      <c r="K544" s="95">
        <v>3</v>
      </c>
      <c r="L544" s="79">
        <v>0.01</v>
      </c>
      <c r="M544" s="107">
        <f t="shared" si="11"/>
        <v>3</v>
      </c>
      <c r="N544" s="76" t="s">
        <v>519</v>
      </c>
      <c r="O544" s="102"/>
    </row>
    <row r="545" s="32" customFormat="1" ht="15" spans="1:15">
      <c r="A545" s="44">
        <v>320</v>
      </c>
      <c r="B545" s="44"/>
      <c r="C545" s="44"/>
      <c r="D545" s="44"/>
      <c r="E545" s="76" t="s">
        <v>129</v>
      </c>
      <c r="F545" s="94" t="s">
        <v>1043</v>
      </c>
      <c r="G545" s="93"/>
      <c r="H545" s="94">
        <v>3</v>
      </c>
      <c r="I545" s="44"/>
      <c r="J545" s="44"/>
      <c r="K545" s="95">
        <v>17</v>
      </c>
      <c r="L545" s="79">
        <v>0.01</v>
      </c>
      <c r="M545" s="107">
        <f t="shared" si="11"/>
        <v>51</v>
      </c>
      <c r="N545" s="76" t="s">
        <v>519</v>
      </c>
      <c r="O545" s="102"/>
    </row>
    <row r="546" s="32" customFormat="1" ht="15" spans="1:15">
      <c r="A546" s="44">
        <v>321</v>
      </c>
      <c r="B546" s="44"/>
      <c r="C546" s="44"/>
      <c r="D546" s="44"/>
      <c r="E546" s="76" t="s">
        <v>129</v>
      </c>
      <c r="F546" s="94" t="s">
        <v>1044</v>
      </c>
      <c r="G546" s="93" t="s">
        <v>1045</v>
      </c>
      <c r="H546" s="94">
        <v>1</v>
      </c>
      <c r="I546" s="44"/>
      <c r="J546" s="44"/>
      <c r="K546" s="95">
        <v>38</v>
      </c>
      <c r="L546" s="79">
        <v>0.01</v>
      </c>
      <c r="M546" s="107">
        <f t="shared" si="11"/>
        <v>38</v>
      </c>
      <c r="N546" s="76" t="s">
        <v>519</v>
      </c>
      <c r="O546" s="102"/>
    </row>
    <row r="547" s="32" customFormat="1" ht="15" spans="1:15">
      <c r="A547" s="44">
        <v>322</v>
      </c>
      <c r="B547" s="44"/>
      <c r="C547" s="44"/>
      <c r="D547" s="44"/>
      <c r="E547" s="76" t="s">
        <v>129</v>
      </c>
      <c r="F547" s="94" t="s">
        <v>1046</v>
      </c>
      <c r="G547" s="93"/>
      <c r="H547" s="94">
        <v>3</v>
      </c>
      <c r="I547" s="44"/>
      <c r="J547" s="44"/>
      <c r="K547" s="95">
        <v>100</v>
      </c>
      <c r="L547" s="79">
        <v>0.01</v>
      </c>
      <c r="M547" s="107">
        <f t="shared" ref="M547:M610" si="12">H547*K547</f>
        <v>300</v>
      </c>
      <c r="N547" s="76" t="s">
        <v>519</v>
      </c>
      <c r="O547" s="102"/>
    </row>
    <row r="548" s="32" customFormat="1" ht="15" spans="1:15">
      <c r="A548" s="44">
        <v>323</v>
      </c>
      <c r="B548" s="44"/>
      <c r="C548" s="44"/>
      <c r="D548" s="44"/>
      <c r="E548" s="76" t="s">
        <v>129</v>
      </c>
      <c r="F548" s="94" t="s">
        <v>1047</v>
      </c>
      <c r="G548" s="93" t="s">
        <v>1048</v>
      </c>
      <c r="H548" s="94">
        <v>10</v>
      </c>
      <c r="I548" s="44"/>
      <c r="J548" s="44"/>
      <c r="K548" s="95">
        <v>48</v>
      </c>
      <c r="L548" s="79">
        <v>0.01</v>
      </c>
      <c r="M548" s="107">
        <f t="shared" si="12"/>
        <v>480</v>
      </c>
      <c r="N548" s="76" t="s">
        <v>519</v>
      </c>
      <c r="O548" s="102"/>
    </row>
    <row r="549" s="32" customFormat="1" ht="15" spans="1:15">
      <c r="A549" s="44">
        <v>324</v>
      </c>
      <c r="B549" s="44"/>
      <c r="C549" s="44"/>
      <c r="D549" s="44"/>
      <c r="E549" s="76" t="s">
        <v>129</v>
      </c>
      <c r="F549" s="94" t="s">
        <v>1049</v>
      </c>
      <c r="G549" s="93" t="s">
        <v>1050</v>
      </c>
      <c r="H549" s="94">
        <v>1</v>
      </c>
      <c r="I549" s="44"/>
      <c r="J549" s="44"/>
      <c r="K549" s="95">
        <v>162</v>
      </c>
      <c r="L549" s="79">
        <v>0.01</v>
      </c>
      <c r="M549" s="107">
        <f t="shared" si="12"/>
        <v>162</v>
      </c>
      <c r="N549" s="76" t="s">
        <v>519</v>
      </c>
      <c r="O549" s="102"/>
    </row>
    <row r="550" s="32" customFormat="1" ht="15" spans="1:15">
      <c r="A550" s="44">
        <v>325</v>
      </c>
      <c r="B550" s="44"/>
      <c r="C550" s="44"/>
      <c r="D550" s="44"/>
      <c r="E550" s="76" t="s">
        <v>129</v>
      </c>
      <c r="F550" s="94" t="s">
        <v>879</v>
      </c>
      <c r="G550" s="93" t="s">
        <v>1051</v>
      </c>
      <c r="H550" s="94">
        <v>2</v>
      </c>
      <c r="I550" s="44"/>
      <c r="J550" s="44"/>
      <c r="K550" s="95">
        <v>58</v>
      </c>
      <c r="L550" s="79">
        <v>0.01</v>
      </c>
      <c r="M550" s="107">
        <f t="shared" si="12"/>
        <v>116</v>
      </c>
      <c r="N550" s="76" t="s">
        <v>519</v>
      </c>
      <c r="O550" s="104">
        <v>45972</v>
      </c>
    </row>
    <row r="551" s="32" customFormat="1" ht="15" spans="1:15">
      <c r="A551" s="44">
        <v>326</v>
      </c>
      <c r="B551" s="44"/>
      <c r="C551" s="44"/>
      <c r="D551" s="44"/>
      <c r="E551" s="76" t="s">
        <v>129</v>
      </c>
      <c r="F551" s="94" t="s">
        <v>879</v>
      </c>
      <c r="G551" s="93" t="s">
        <v>1052</v>
      </c>
      <c r="H551" s="94">
        <v>1</v>
      </c>
      <c r="I551" s="44"/>
      <c r="J551" s="44"/>
      <c r="K551" s="95">
        <v>60</v>
      </c>
      <c r="L551" s="79">
        <v>0.01</v>
      </c>
      <c r="M551" s="107">
        <f t="shared" si="12"/>
        <v>60</v>
      </c>
      <c r="N551" s="76" t="s">
        <v>519</v>
      </c>
      <c r="O551" s="104"/>
    </row>
    <row r="552" s="32" customFormat="1" ht="15" spans="1:15">
      <c r="A552" s="44">
        <v>327</v>
      </c>
      <c r="B552" s="44"/>
      <c r="C552" s="44"/>
      <c r="D552" s="44"/>
      <c r="E552" s="76" t="s">
        <v>129</v>
      </c>
      <c r="F552" s="94" t="s">
        <v>931</v>
      </c>
      <c r="G552" s="93" t="s">
        <v>1053</v>
      </c>
      <c r="H552" s="94">
        <v>2</v>
      </c>
      <c r="I552" s="44"/>
      <c r="J552" s="44"/>
      <c r="K552" s="95">
        <v>27</v>
      </c>
      <c r="L552" s="79">
        <v>0.01</v>
      </c>
      <c r="M552" s="107">
        <f t="shared" si="12"/>
        <v>54</v>
      </c>
      <c r="N552" s="76" t="s">
        <v>519</v>
      </c>
      <c r="O552" s="104"/>
    </row>
    <row r="553" s="32" customFormat="1" ht="15" spans="1:15">
      <c r="A553" s="44">
        <v>328</v>
      </c>
      <c r="B553" s="44"/>
      <c r="C553" s="44"/>
      <c r="D553" s="44"/>
      <c r="E553" s="76" t="s">
        <v>129</v>
      </c>
      <c r="F553" s="94" t="s">
        <v>108</v>
      </c>
      <c r="G553" s="93"/>
      <c r="H553" s="94">
        <v>100</v>
      </c>
      <c r="K553" s="95">
        <v>1.75</v>
      </c>
      <c r="L553" s="79">
        <v>0.01</v>
      </c>
      <c r="M553" s="107">
        <f t="shared" si="12"/>
        <v>175</v>
      </c>
      <c r="N553" s="76" t="s">
        <v>519</v>
      </c>
      <c r="O553" s="104"/>
    </row>
    <row r="554" s="32" customFormat="1" ht="15" spans="1:15">
      <c r="A554" s="44">
        <v>329</v>
      </c>
      <c r="B554" s="44"/>
      <c r="C554" s="44"/>
      <c r="D554" s="44"/>
      <c r="E554" s="76" t="s">
        <v>129</v>
      </c>
      <c r="F554" s="94" t="s">
        <v>183</v>
      </c>
      <c r="G554" s="93" t="s">
        <v>1054</v>
      </c>
      <c r="H554" s="94">
        <v>2</v>
      </c>
      <c r="K554" s="95">
        <v>45</v>
      </c>
      <c r="L554" s="79">
        <v>0.01</v>
      </c>
      <c r="M554" s="107">
        <f t="shared" si="12"/>
        <v>90</v>
      </c>
      <c r="N554" s="76" t="s">
        <v>519</v>
      </c>
      <c r="O554" s="104"/>
    </row>
    <row r="555" s="32" customFormat="1" ht="15" spans="1:15">
      <c r="A555" s="44">
        <v>330</v>
      </c>
      <c r="B555" s="44"/>
      <c r="C555" s="44"/>
      <c r="D555" s="44"/>
      <c r="E555" s="76" t="s">
        <v>129</v>
      </c>
      <c r="F555" s="94" t="s">
        <v>1055</v>
      </c>
      <c r="G555" s="93" t="s">
        <v>1056</v>
      </c>
      <c r="H555" s="94">
        <v>1</v>
      </c>
      <c r="K555" s="95">
        <v>85</v>
      </c>
      <c r="L555" s="79">
        <v>0.01</v>
      </c>
      <c r="M555" s="107">
        <f t="shared" si="12"/>
        <v>85</v>
      </c>
      <c r="N555" s="76" t="s">
        <v>519</v>
      </c>
      <c r="O555" s="104"/>
    </row>
    <row r="556" s="32" customFormat="1" ht="15" spans="1:15">
      <c r="A556" s="44">
        <v>331</v>
      </c>
      <c r="B556" s="44"/>
      <c r="C556" s="44"/>
      <c r="D556" s="44"/>
      <c r="E556" s="76" t="s">
        <v>129</v>
      </c>
      <c r="F556" s="94" t="s">
        <v>914</v>
      </c>
      <c r="G556" s="93" t="s">
        <v>1057</v>
      </c>
      <c r="H556" s="94">
        <v>4</v>
      </c>
      <c r="K556" s="95">
        <v>10</v>
      </c>
      <c r="L556" s="79">
        <v>0.01</v>
      </c>
      <c r="M556" s="107">
        <f t="shared" si="12"/>
        <v>40</v>
      </c>
      <c r="N556" s="76" t="s">
        <v>519</v>
      </c>
      <c r="O556" s="104"/>
    </row>
    <row r="557" s="32" customFormat="1" ht="15" spans="1:15">
      <c r="A557" s="44">
        <v>332</v>
      </c>
      <c r="B557" s="44"/>
      <c r="C557" s="44"/>
      <c r="D557" s="44"/>
      <c r="E557" s="76" t="s">
        <v>129</v>
      </c>
      <c r="F557" s="94" t="s">
        <v>455</v>
      </c>
      <c r="G557" s="93" t="s">
        <v>1058</v>
      </c>
      <c r="H557" s="94">
        <v>1</v>
      </c>
      <c r="K557" s="95">
        <v>44</v>
      </c>
      <c r="L557" s="79">
        <v>0.01</v>
      </c>
      <c r="M557" s="107">
        <f t="shared" si="12"/>
        <v>44</v>
      </c>
      <c r="N557" s="76" t="s">
        <v>519</v>
      </c>
      <c r="O557" s="101">
        <v>45974</v>
      </c>
    </row>
    <row r="558" s="32" customFormat="1" ht="15" spans="1:15">
      <c r="A558" s="44">
        <v>333</v>
      </c>
      <c r="B558" s="44"/>
      <c r="C558" s="44"/>
      <c r="D558" s="44"/>
      <c r="E558" s="76" t="s">
        <v>129</v>
      </c>
      <c r="F558" s="94" t="s">
        <v>856</v>
      </c>
      <c r="G558" s="93" t="s">
        <v>1059</v>
      </c>
      <c r="H558" s="94">
        <v>2</v>
      </c>
      <c r="K558" s="95">
        <v>9.5</v>
      </c>
      <c r="L558" s="79">
        <v>0.01</v>
      </c>
      <c r="M558" s="107">
        <f t="shared" si="12"/>
        <v>19</v>
      </c>
      <c r="N558" s="76" t="s">
        <v>519</v>
      </c>
      <c r="O558" s="102"/>
    </row>
    <row r="559" s="32" customFormat="1" ht="15" spans="1:15">
      <c r="A559" s="44">
        <v>334</v>
      </c>
      <c r="B559" s="44"/>
      <c r="C559" s="44"/>
      <c r="D559" s="44"/>
      <c r="E559" s="76" t="s">
        <v>129</v>
      </c>
      <c r="F559" s="94" t="s">
        <v>858</v>
      </c>
      <c r="G559" s="93" t="s">
        <v>1060</v>
      </c>
      <c r="H559" s="94">
        <v>1</v>
      </c>
      <c r="K559" s="95">
        <v>45</v>
      </c>
      <c r="L559" s="79">
        <v>0.01</v>
      </c>
      <c r="M559" s="107">
        <f t="shared" si="12"/>
        <v>45</v>
      </c>
      <c r="N559" s="76" t="s">
        <v>519</v>
      </c>
      <c r="O559" s="102"/>
    </row>
    <row r="560" s="32" customFormat="1" ht="15" spans="1:15">
      <c r="A560" s="44">
        <v>335</v>
      </c>
      <c r="B560" s="44"/>
      <c r="C560" s="44"/>
      <c r="D560" s="44"/>
      <c r="E560" s="76" t="s">
        <v>129</v>
      </c>
      <c r="F560" s="94" t="s">
        <v>1061</v>
      </c>
      <c r="G560" s="93" t="s">
        <v>1062</v>
      </c>
      <c r="H560" s="94">
        <v>3</v>
      </c>
      <c r="K560" s="95">
        <v>4</v>
      </c>
      <c r="L560" s="79">
        <v>0.01</v>
      </c>
      <c r="M560" s="107">
        <f t="shared" si="12"/>
        <v>12</v>
      </c>
      <c r="N560" s="76" t="s">
        <v>519</v>
      </c>
      <c r="O560" s="102"/>
    </row>
    <row r="561" s="32" customFormat="1" ht="15" spans="1:15">
      <c r="A561" s="44">
        <v>336</v>
      </c>
      <c r="B561" s="44"/>
      <c r="C561" s="44"/>
      <c r="D561" s="44"/>
      <c r="E561" s="76" t="s">
        <v>129</v>
      </c>
      <c r="F561" s="94" t="s">
        <v>707</v>
      </c>
      <c r="G561" s="93" t="s">
        <v>1063</v>
      </c>
      <c r="H561" s="94">
        <v>10</v>
      </c>
      <c r="K561" s="95">
        <v>35</v>
      </c>
      <c r="L561" s="79">
        <v>0.01</v>
      </c>
      <c r="M561" s="107">
        <f t="shared" si="12"/>
        <v>350</v>
      </c>
      <c r="N561" s="76" t="s">
        <v>519</v>
      </c>
      <c r="O561" s="102"/>
    </row>
    <row r="562" s="32" customFormat="1" ht="15" spans="1:15">
      <c r="A562" s="44">
        <v>337</v>
      </c>
      <c r="B562" s="44"/>
      <c r="C562" s="44"/>
      <c r="D562" s="44"/>
      <c r="E562" s="76" t="s">
        <v>129</v>
      </c>
      <c r="F562" s="94" t="s">
        <v>1064</v>
      </c>
      <c r="G562" s="93"/>
      <c r="H562" s="94">
        <v>1</v>
      </c>
      <c r="K562" s="95">
        <v>100</v>
      </c>
      <c r="L562" s="79">
        <v>0.01</v>
      </c>
      <c r="M562" s="107">
        <f t="shared" si="12"/>
        <v>100</v>
      </c>
      <c r="N562" s="76" t="s">
        <v>519</v>
      </c>
      <c r="O562" s="102"/>
    </row>
    <row r="563" s="32" customFormat="1" ht="15" spans="1:15">
      <c r="A563" s="44">
        <v>338</v>
      </c>
      <c r="B563" s="44"/>
      <c r="C563" s="44"/>
      <c r="D563" s="44"/>
      <c r="E563" s="76" t="s">
        <v>129</v>
      </c>
      <c r="F563" s="94" t="s">
        <v>1065</v>
      </c>
      <c r="G563" s="93" t="s">
        <v>1066</v>
      </c>
      <c r="H563" s="94">
        <v>1</v>
      </c>
      <c r="K563" s="95">
        <v>580</v>
      </c>
      <c r="L563" s="79">
        <v>0.01</v>
      </c>
      <c r="M563" s="107">
        <f t="shared" si="12"/>
        <v>580</v>
      </c>
      <c r="N563" s="76" t="s">
        <v>519</v>
      </c>
      <c r="O563" s="103"/>
    </row>
    <row r="564" s="32" customFormat="1" ht="15" spans="1:15">
      <c r="A564" s="44">
        <v>339</v>
      </c>
      <c r="B564" s="44"/>
      <c r="C564" s="44"/>
      <c r="D564" s="44"/>
      <c r="E564" s="76" t="s">
        <v>129</v>
      </c>
      <c r="F564" s="94" t="s">
        <v>523</v>
      </c>
      <c r="G564" s="93" t="s">
        <v>1067</v>
      </c>
      <c r="H564" s="94">
        <v>2</v>
      </c>
      <c r="K564" s="95">
        <v>80</v>
      </c>
      <c r="L564" s="79">
        <v>0.01</v>
      </c>
      <c r="M564" s="107">
        <f t="shared" si="12"/>
        <v>160</v>
      </c>
      <c r="N564" s="76" t="s">
        <v>519</v>
      </c>
      <c r="O564" s="104">
        <v>45975</v>
      </c>
    </row>
    <row r="565" s="32" customFormat="1" ht="15" spans="1:15">
      <c r="A565" s="44">
        <v>340</v>
      </c>
      <c r="B565" s="44"/>
      <c r="C565" s="44"/>
      <c r="D565" s="44"/>
      <c r="E565" s="76" t="s">
        <v>129</v>
      </c>
      <c r="F565" s="94" t="s">
        <v>1068</v>
      </c>
      <c r="G565" s="93" t="s">
        <v>1069</v>
      </c>
      <c r="H565" s="94">
        <v>4</v>
      </c>
      <c r="K565" s="95">
        <v>28.5</v>
      </c>
      <c r="L565" s="79">
        <v>0.01</v>
      </c>
      <c r="M565" s="107">
        <f t="shared" si="12"/>
        <v>114</v>
      </c>
      <c r="N565" s="76" t="s">
        <v>519</v>
      </c>
      <c r="O565" s="104"/>
    </row>
    <row r="566" s="32" customFormat="1" ht="15" spans="1:15">
      <c r="A566" s="44">
        <v>341</v>
      </c>
      <c r="B566" s="44"/>
      <c r="C566" s="44"/>
      <c r="D566" s="44"/>
      <c r="E566" s="76" t="s">
        <v>129</v>
      </c>
      <c r="F566" s="94" t="s">
        <v>1043</v>
      </c>
      <c r="G566" s="93"/>
      <c r="H566" s="94">
        <v>1</v>
      </c>
      <c r="K566" s="95">
        <v>79</v>
      </c>
      <c r="L566" s="79">
        <v>0.01</v>
      </c>
      <c r="M566" s="107">
        <f t="shared" si="12"/>
        <v>79</v>
      </c>
      <c r="N566" s="76" t="s">
        <v>519</v>
      </c>
      <c r="O566" s="104"/>
    </row>
    <row r="567" s="32" customFormat="1" ht="15" spans="1:15">
      <c r="A567" s="44">
        <v>342</v>
      </c>
      <c r="B567" s="44"/>
      <c r="C567" s="44"/>
      <c r="D567" s="44"/>
      <c r="E567" s="76" t="s">
        <v>129</v>
      </c>
      <c r="F567" s="94" t="s">
        <v>1070</v>
      </c>
      <c r="G567" s="93" t="s">
        <v>1071</v>
      </c>
      <c r="H567" s="94">
        <v>5</v>
      </c>
      <c r="K567" s="95">
        <v>16.5</v>
      </c>
      <c r="L567" s="79">
        <v>0.01</v>
      </c>
      <c r="M567" s="107">
        <f t="shared" si="12"/>
        <v>82.5</v>
      </c>
      <c r="N567" s="76" t="s">
        <v>519</v>
      </c>
      <c r="O567" s="104"/>
    </row>
    <row r="568" s="32" customFormat="1" ht="15" spans="1:15">
      <c r="A568" s="44">
        <v>343</v>
      </c>
      <c r="B568" s="44"/>
      <c r="C568" s="44"/>
      <c r="D568" s="44"/>
      <c r="E568" s="76" t="s">
        <v>129</v>
      </c>
      <c r="F568" s="94" t="s">
        <v>534</v>
      </c>
      <c r="G568" s="93" t="s">
        <v>1072</v>
      </c>
      <c r="H568" s="94">
        <v>4</v>
      </c>
      <c r="K568" s="95">
        <v>22</v>
      </c>
      <c r="L568" s="79">
        <v>0.01</v>
      </c>
      <c r="M568" s="107">
        <f t="shared" si="12"/>
        <v>88</v>
      </c>
      <c r="N568" s="76" t="s">
        <v>519</v>
      </c>
      <c r="O568" s="104"/>
    </row>
    <row r="569" s="32" customFormat="1" ht="15" spans="1:15">
      <c r="A569" s="44">
        <v>344</v>
      </c>
      <c r="B569" s="44"/>
      <c r="C569" s="44"/>
      <c r="D569" s="44"/>
      <c r="E569" s="76" t="s">
        <v>129</v>
      </c>
      <c r="F569" s="94" t="s">
        <v>1073</v>
      </c>
      <c r="G569" s="93" t="s">
        <v>1074</v>
      </c>
      <c r="H569" s="94">
        <v>1</v>
      </c>
      <c r="K569" s="95">
        <v>3320</v>
      </c>
      <c r="L569" s="79">
        <v>0.01</v>
      </c>
      <c r="M569" s="107">
        <f t="shared" si="12"/>
        <v>3320</v>
      </c>
      <c r="N569" s="76" t="s">
        <v>519</v>
      </c>
      <c r="O569" s="104"/>
    </row>
    <row r="570" s="32" customFormat="1" ht="15" spans="1:15">
      <c r="A570" s="44">
        <v>345</v>
      </c>
      <c r="B570" s="44"/>
      <c r="C570" s="44"/>
      <c r="D570" s="44"/>
      <c r="E570" s="76" t="s">
        <v>129</v>
      </c>
      <c r="F570" s="94" t="s">
        <v>1075</v>
      </c>
      <c r="G570" s="93" t="s">
        <v>1076</v>
      </c>
      <c r="H570" s="94">
        <v>2</v>
      </c>
      <c r="K570" s="95">
        <v>320</v>
      </c>
      <c r="L570" s="79">
        <v>0.01</v>
      </c>
      <c r="M570" s="107">
        <f t="shared" si="12"/>
        <v>640</v>
      </c>
      <c r="N570" s="76" t="s">
        <v>519</v>
      </c>
      <c r="O570" s="104"/>
    </row>
    <row r="571" s="32" customFormat="1" ht="15" spans="1:15">
      <c r="A571" s="44">
        <v>346</v>
      </c>
      <c r="B571" s="44"/>
      <c r="C571" s="44"/>
      <c r="D571" s="44"/>
      <c r="E571" s="76" t="s">
        <v>129</v>
      </c>
      <c r="F571" s="94" t="s">
        <v>1077</v>
      </c>
      <c r="G571" s="93" t="s">
        <v>1078</v>
      </c>
      <c r="H571" s="94">
        <v>1</v>
      </c>
      <c r="K571" s="95">
        <v>660</v>
      </c>
      <c r="L571" s="79">
        <v>0.01</v>
      </c>
      <c r="M571" s="107">
        <f t="shared" si="12"/>
        <v>660</v>
      </c>
      <c r="N571" s="76" t="s">
        <v>519</v>
      </c>
      <c r="O571" s="104"/>
    </row>
    <row r="572" s="32" customFormat="1" ht="15" spans="1:15">
      <c r="A572" s="44">
        <v>347</v>
      </c>
      <c r="B572" s="44"/>
      <c r="C572" s="44"/>
      <c r="D572" s="44"/>
      <c r="E572" s="76" t="s">
        <v>129</v>
      </c>
      <c r="F572" s="94" t="s">
        <v>1079</v>
      </c>
      <c r="G572" s="93" t="s">
        <v>1080</v>
      </c>
      <c r="H572" s="94">
        <v>10</v>
      </c>
      <c r="K572" s="95">
        <v>78</v>
      </c>
      <c r="L572" s="79">
        <v>0.01</v>
      </c>
      <c r="M572" s="107">
        <f t="shared" si="12"/>
        <v>780</v>
      </c>
      <c r="N572" s="76" t="s">
        <v>519</v>
      </c>
      <c r="O572" s="104"/>
    </row>
    <row r="573" s="32" customFormat="1" ht="15" spans="1:15">
      <c r="A573" s="44">
        <v>348</v>
      </c>
      <c r="B573" s="44"/>
      <c r="C573" s="44"/>
      <c r="D573" s="44"/>
      <c r="E573" s="76" t="s">
        <v>129</v>
      </c>
      <c r="F573" s="94" t="s">
        <v>1039</v>
      </c>
      <c r="G573" s="93"/>
      <c r="H573" s="94">
        <v>1</v>
      </c>
      <c r="K573" s="95">
        <v>30</v>
      </c>
      <c r="L573" s="79">
        <v>0.01</v>
      </c>
      <c r="M573" s="107">
        <f t="shared" si="12"/>
        <v>30</v>
      </c>
      <c r="N573" s="76" t="s">
        <v>519</v>
      </c>
      <c r="O573" s="104">
        <v>45980</v>
      </c>
    </row>
    <row r="574" s="32" customFormat="1" ht="15" spans="1:15">
      <c r="A574" s="44">
        <v>349</v>
      </c>
      <c r="B574" s="44"/>
      <c r="C574" s="44"/>
      <c r="D574" s="44"/>
      <c r="E574" s="76" t="s">
        <v>129</v>
      </c>
      <c r="F574" s="94" t="s">
        <v>1081</v>
      </c>
      <c r="G574" s="93" t="s">
        <v>1082</v>
      </c>
      <c r="H574" s="94">
        <v>10</v>
      </c>
      <c r="K574" s="95">
        <v>3</v>
      </c>
      <c r="L574" s="79">
        <v>0.01</v>
      </c>
      <c r="M574" s="107">
        <f t="shared" si="12"/>
        <v>30</v>
      </c>
      <c r="N574" s="76" t="s">
        <v>519</v>
      </c>
      <c r="O574" s="104"/>
    </row>
    <row r="575" s="32" customFormat="1" ht="15" spans="1:15">
      <c r="A575" s="44">
        <v>350</v>
      </c>
      <c r="B575" s="44"/>
      <c r="C575" s="44"/>
      <c r="D575" s="44"/>
      <c r="E575" s="76" t="s">
        <v>129</v>
      </c>
      <c r="F575" s="94" t="s">
        <v>882</v>
      </c>
      <c r="G575" s="93" t="s">
        <v>1083</v>
      </c>
      <c r="H575" s="94">
        <v>5</v>
      </c>
      <c r="K575" s="95">
        <v>6</v>
      </c>
      <c r="L575" s="79">
        <v>0.01</v>
      </c>
      <c r="M575" s="107">
        <f t="shared" si="12"/>
        <v>30</v>
      </c>
      <c r="N575" s="76" t="s">
        <v>519</v>
      </c>
      <c r="O575" s="104"/>
    </row>
    <row r="576" s="32" customFormat="1" ht="15" spans="1:15">
      <c r="A576" s="44">
        <v>351</v>
      </c>
      <c r="B576" s="44"/>
      <c r="C576" s="44"/>
      <c r="D576" s="44"/>
      <c r="E576" s="76" t="s">
        <v>129</v>
      </c>
      <c r="F576" s="94" t="s">
        <v>1084</v>
      </c>
      <c r="G576" s="93" t="s">
        <v>1085</v>
      </c>
      <c r="H576" s="94">
        <v>2</v>
      </c>
      <c r="K576" s="95">
        <v>18</v>
      </c>
      <c r="L576" s="79">
        <v>0.01</v>
      </c>
      <c r="M576" s="107">
        <f t="shared" si="12"/>
        <v>36</v>
      </c>
      <c r="N576" s="76" t="s">
        <v>519</v>
      </c>
      <c r="O576" s="104"/>
    </row>
    <row r="577" s="32" customFormat="1" ht="15" spans="1:15">
      <c r="A577" s="44">
        <v>352</v>
      </c>
      <c r="B577" s="44"/>
      <c r="C577" s="44"/>
      <c r="D577" s="44"/>
      <c r="E577" s="76" t="s">
        <v>129</v>
      </c>
      <c r="F577" s="94" t="s">
        <v>1086</v>
      </c>
      <c r="G577" s="93" t="s">
        <v>1087</v>
      </c>
      <c r="H577" s="94">
        <v>6</v>
      </c>
      <c r="K577" s="95">
        <v>42</v>
      </c>
      <c r="L577" s="79">
        <v>0.01</v>
      </c>
      <c r="M577" s="107">
        <f t="shared" si="12"/>
        <v>252</v>
      </c>
      <c r="N577" s="76" t="s">
        <v>519</v>
      </c>
      <c r="O577" s="104"/>
    </row>
    <row r="578" s="32" customFormat="1" ht="15" spans="1:15">
      <c r="A578" s="44">
        <v>353</v>
      </c>
      <c r="B578" s="44"/>
      <c r="C578" s="44"/>
      <c r="D578" s="44"/>
      <c r="E578" s="76" t="s">
        <v>129</v>
      </c>
      <c r="F578" s="94" t="s">
        <v>1088</v>
      </c>
      <c r="G578" s="93"/>
      <c r="H578" s="94">
        <v>10</v>
      </c>
      <c r="K578" s="95">
        <v>5.5</v>
      </c>
      <c r="L578" s="79">
        <v>0.01</v>
      </c>
      <c r="M578" s="107">
        <f t="shared" si="12"/>
        <v>55</v>
      </c>
      <c r="N578" s="76" t="s">
        <v>519</v>
      </c>
      <c r="O578" s="104">
        <v>45982</v>
      </c>
    </row>
    <row r="579" s="32" customFormat="1" ht="15" spans="1:15">
      <c r="A579" s="44">
        <v>354</v>
      </c>
      <c r="B579" s="44"/>
      <c r="C579" s="44"/>
      <c r="D579" s="44"/>
      <c r="E579" s="76" t="s">
        <v>129</v>
      </c>
      <c r="F579" s="94" t="s">
        <v>1089</v>
      </c>
      <c r="G579" s="93" t="s">
        <v>1090</v>
      </c>
      <c r="H579" s="94">
        <v>6</v>
      </c>
      <c r="K579" s="95">
        <v>4.5</v>
      </c>
      <c r="L579" s="79">
        <v>0.01</v>
      </c>
      <c r="M579" s="107">
        <f t="shared" si="12"/>
        <v>27</v>
      </c>
      <c r="N579" s="76" t="s">
        <v>519</v>
      </c>
      <c r="O579" s="104"/>
    </row>
    <row r="580" s="32" customFormat="1" ht="15" spans="1:15">
      <c r="A580" s="44">
        <v>355</v>
      </c>
      <c r="B580" s="44"/>
      <c r="C580" s="44"/>
      <c r="D580" s="44"/>
      <c r="E580" s="76" t="s">
        <v>129</v>
      </c>
      <c r="F580" s="94" t="s">
        <v>1091</v>
      </c>
      <c r="G580" s="93"/>
      <c r="H580" s="94">
        <v>1</v>
      </c>
      <c r="K580" s="95">
        <v>4</v>
      </c>
      <c r="L580" s="79">
        <v>0.01</v>
      </c>
      <c r="M580" s="107">
        <f t="shared" si="12"/>
        <v>4</v>
      </c>
      <c r="N580" s="76" t="s">
        <v>519</v>
      </c>
      <c r="O580" s="104"/>
    </row>
    <row r="581" s="32" customFormat="1" ht="15" spans="1:15">
      <c r="A581" s="44">
        <v>356</v>
      </c>
      <c r="B581" s="44"/>
      <c r="C581" s="44"/>
      <c r="D581" s="44"/>
      <c r="E581" s="76" t="s">
        <v>129</v>
      </c>
      <c r="F581" s="93" t="s">
        <v>1092</v>
      </c>
      <c r="G581" s="93"/>
      <c r="H581" s="94">
        <v>1</v>
      </c>
      <c r="K581" s="95">
        <v>155</v>
      </c>
      <c r="L581" s="79">
        <v>0.01</v>
      </c>
      <c r="M581" s="107">
        <f t="shared" si="12"/>
        <v>155</v>
      </c>
      <c r="N581" s="76" t="s">
        <v>519</v>
      </c>
      <c r="O581" s="104"/>
    </row>
    <row r="582" s="32" customFormat="1" ht="15" spans="1:15">
      <c r="A582" s="44">
        <v>357</v>
      </c>
      <c r="B582" s="44"/>
      <c r="C582" s="44"/>
      <c r="D582" s="44"/>
      <c r="E582" s="76" t="s">
        <v>129</v>
      </c>
      <c r="F582" s="94" t="s">
        <v>1093</v>
      </c>
      <c r="G582" s="93" t="s">
        <v>1008</v>
      </c>
      <c r="H582" s="94">
        <v>1</v>
      </c>
      <c r="K582" s="95">
        <v>212</v>
      </c>
      <c r="L582" s="79">
        <v>0.01</v>
      </c>
      <c r="M582" s="107">
        <f t="shared" si="12"/>
        <v>212</v>
      </c>
      <c r="N582" s="76" t="s">
        <v>519</v>
      </c>
      <c r="O582" s="104"/>
    </row>
    <row r="583" s="32" customFormat="1" ht="15" spans="1:15">
      <c r="A583" s="44">
        <v>358</v>
      </c>
      <c r="B583" s="44"/>
      <c r="C583" s="44"/>
      <c r="D583" s="44"/>
      <c r="E583" s="76" t="s">
        <v>129</v>
      </c>
      <c r="F583" s="94" t="s">
        <v>1094</v>
      </c>
      <c r="G583" s="93"/>
      <c r="H583" s="94">
        <v>1</v>
      </c>
      <c r="K583" s="95">
        <v>132</v>
      </c>
      <c r="L583" s="79">
        <v>0.01</v>
      </c>
      <c r="M583" s="107">
        <f t="shared" si="12"/>
        <v>132</v>
      </c>
      <c r="N583" s="76" t="s">
        <v>519</v>
      </c>
      <c r="O583" s="104"/>
    </row>
    <row r="584" s="32" customFormat="1" ht="15" spans="1:15">
      <c r="A584" s="44">
        <v>359</v>
      </c>
      <c r="B584" s="44"/>
      <c r="C584" s="44"/>
      <c r="D584" s="44"/>
      <c r="E584" s="76" t="s">
        <v>129</v>
      </c>
      <c r="F584" s="94" t="s">
        <v>856</v>
      </c>
      <c r="G584" s="93" t="s">
        <v>1095</v>
      </c>
      <c r="H584" s="94">
        <v>2</v>
      </c>
      <c r="K584" s="95">
        <v>12</v>
      </c>
      <c r="L584" s="79">
        <v>0.01</v>
      </c>
      <c r="M584" s="107">
        <f t="shared" si="12"/>
        <v>24</v>
      </c>
      <c r="N584" s="76" t="s">
        <v>519</v>
      </c>
      <c r="O584" s="104"/>
    </row>
    <row r="585" s="32" customFormat="1" ht="15" spans="1:15">
      <c r="A585" s="44">
        <v>360</v>
      </c>
      <c r="B585" s="44"/>
      <c r="C585" s="44"/>
      <c r="D585" s="44"/>
      <c r="E585" s="76" t="s">
        <v>129</v>
      </c>
      <c r="F585" s="94" t="s">
        <v>1096</v>
      </c>
      <c r="G585" s="93" t="s">
        <v>1097</v>
      </c>
      <c r="H585" s="94">
        <v>1</v>
      </c>
      <c r="K585" s="95">
        <v>153</v>
      </c>
      <c r="L585" s="79">
        <v>0.01</v>
      </c>
      <c r="M585" s="107">
        <f t="shared" si="12"/>
        <v>153</v>
      </c>
      <c r="N585" s="76" t="s">
        <v>519</v>
      </c>
      <c r="O585" s="101">
        <v>45985</v>
      </c>
    </row>
    <row r="586" s="32" customFormat="1" ht="15" spans="1:15">
      <c r="A586" s="44">
        <v>361</v>
      </c>
      <c r="B586" s="44"/>
      <c r="C586" s="44"/>
      <c r="D586" s="44"/>
      <c r="E586" s="76" t="s">
        <v>129</v>
      </c>
      <c r="F586" s="94" t="s">
        <v>1098</v>
      </c>
      <c r="G586" s="93" t="s">
        <v>1099</v>
      </c>
      <c r="H586" s="94">
        <v>1</v>
      </c>
      <c r="K586" s="95">
        <v>475</v>
      </c>
      <c r="L586" s="79">
        <v>0.01</v>
      </c>
      <c r="M586" s="107">
        <f t="shared" si="12"/>
        <v>475</v>
      </c>
      <c r="N586" s="76" t="s">
        <v>519</v>
      </c>
      <c r="O586" s="102"/>
    </row>
    <row r="587" s="32" customFormat="1" ht="15" spans="1:15">
      <c r="A587" s="44">
        <v>362</v>
      </c>
      <c r="B587" s="44"/>
      <c r="C587" s="44"/>
      <c r="D587" s="44"/>
      <c r="E587" s="76" t="s">
        <v>129</v>
      </c>
      <c r="F587" s="94" t="s">
        <v>1100</v>
      </c>
      <c r="G587" s="93" t="s">
        <v>1101</v>
      </c>
      <c r="H587" s="94">
        <v>1</v>
      </c>
      <c r="K587" s="95">
        <v>50</v>
      </c>
      <c r="L587" s="79">
        <v>0.01</v>
      </c>
      <c r="M587" s="107">
        <f t="shared" si="12"/>
        <v>50</v>
      </c>
      <c r="N587" s="76" t="s">
        <v>519</v>
      </c>
      <c r="O587" s="104">
        <v>45986</v>
      </c>
    </row>
    <row r="588" s="32" customFormat="1" ht="15" spans="1:15">
      <c r="A588" s="44">
        <v>363</v>
      </c>
      <c r="B588" s="44"/>
      <c r="C588" s="44"/>
      <c r="D588" s="44"/>
      <c r="E588" s="76" t="s">
        <v>129</v>
      </c>
      <c r="F588" s="94" t="s">
        <v>1102</v>
      </c>
      <c r="G588" s="93" t="s">
        <v>1103</v>
      </c>
      <c r="H588" s="94">
        <v>8</v>
      </c>
      <c r="K588" s="95">
        <v>2.5</v>
      </c>
      <c r="L588" s="79">
        <v>0.01</v>
      </c>
      <c r="M588" s="107">
        <f t="shared" si="12"/>
        <v>20</v>
      </c>
      <c r="N588" s="76" t="s">
        <v>519</v>
      </c>
      <c r="O588" s="104"/>
    </row>
    <row r="589" s="32" customFormat="1" ht="15" spans="1:15">
      <c r="A589" s="44">
        <v>364</v>
      </c>
      <c r="B589" s="44"/>
      <c r="C589" s="44"/>
      <c r="D589" s="44"/>
      <c r="E589" s="76" t="s">
        <v>129</v>
      </c>
      <c r="F589" s="94" t="s">
        <v>1102</v>
      </c>
      <c r="G589" s="93" t="s">
        <v>1104</v>
      </c>
      <c r="H589" s="94">
        <v>10</v>
      </c>
      <c r="K589" s="95">
        <v>2</v>
      </c>
      <c r="L589" s="79">
        <v>0.01</v>
      </c>
      <c r="M589" s="107">
        <f t="shared" si="12"/>
        <v>20</v>
      </c>
      <c r="N589" s="76" t="s">
        <v>519</v>
      </c>
      <c r="O589" s="104"/>
    </row>
    <row r="590" s="32" customFormat="1" ht="15" spans="1:15">
      <c r="A590" s="44">
        <v>365</v>
      </c>
      <c r="B590" s="44"/>
      <c r="C590" s="44"/>
      <c r="D590" s="44"/>
      <c r="E590" s="76" t="s">
        <v>129</v>
      </c>
      <c r="F590" s="94" t="s">
        <v>1105</v>
      </c>
      <c r="G590" s="93" t="s">
        <v>1106</v>
      </c>
      <c r="H590" s="94">
        <v>1</v>
      </c>
      <c r="K590" s="95">
        <v>21</v>
      </c>
      <c r="L590" s="79">
        <v>0.01</v>
      </c>
      <c r="M590" s="107">
        <f t="shared" si="12"/>
        <v>21</v>
      </c>
      <c r="N590" s="76" t="s">
        <v>519</v>
      </c>
      <c r="O590" s="104"/>
    </row>
    <row r="591" s="32" customFormat="1" ht="15" spans="1:15">
      <c r="A591" s="44">
        <v>366</v>
      </c>
      <c r="B591" s="44"/>
      <c r="C591" s="44"/>
      <c r="D591" s="44"/>
      <c r="E591" s="76" t="s">
        <v>129</v>
      </c>
      <c r="F591" s="94" t="s">
        <v>1107</v>
      </c>
      <c r="G591" s="93" t="s">
        <v>1103</v>
      </c>
      <c r="H591" s="94">
        <v>1</v>
      </c>
      <c r="K591" s="95">
        <v>40</v>
      </c>
      <c r="L591" s="79">
        <v>0.01</v>
      </c>
      <c r="M591" s="107">
        <f t="shared" si="12"/>
        <v>40</v>
      </c>
      <c r="N591" s="76" t="s">
        <v>519</v>
      </c>
      <c r="O591" s="104"/>
    </row>
    <row r="592" s="32" customFormat="1" ht="15" spans="1:15">
      <c r="A592" s="44">
        <v>367</v>
      </c>
      <c r="B592" s="44"/>
      <c r="C592" s="44"/>
      <c r="D592" s="44"/>
      <c r="E592" s="76" t="s">
        <v>129</v>
      </c>
      <c r="F592" s="94" t="s">
        <v>1108</v>
      </c>
      <c r="G592" s="93" t="s">
        <v>1109</v>
      </c>
      <c r="H592" s="94">
        <v>15</v>
      </c>
      <c r="K592" s="95">
        <v>14</v>
      </c>
      <c r="L592" s="79">
        <v>0.01</v>
      </c>
      <c r="M592" s="107">
        <f t="shared" si="12"/>
        <v>210</v>
      </c>
      <c r="N592" s="76" t="s">
        <v>519</v>
      </c>
      <c r="O592" s="101">
        <v>45987</v>
      </c>
    </row>
    <row r="593" s="32" customFormat="1" ht="15" spans="1:15">
      <c r="A593" s="44">
        <v>368</v>
      </c>
      <c r="B593" s="44"/>
      <c r="C593" s="44"/>
      <c r="D593" s="44"/>
      <c r="E593" s="76" t="s">
        <v>129</v>
      </c>
      <c r="F593" s="94" t="s">
        <v>1110</v>
      </c>
      <c r="G593" s="93" t="s">
        <v>1111</v>
      </c>
      <c r="H593" s="94">
        <v>1</v>
      </c>
      <c r="K593" s="95">
        <v>13</v>
      </c>
      <c r="L593" s="79">
        <v>0.01</v>
      </c>
      <c r="M593" s="107">
        <f t="shared" si="12"/>
        <v>13</v>
      </c>
      <c r="N593" s="76" t="s">
        <v>519</v>
      </c>
      <c r="O593" s="102"/>
    </row>
    <row r="594" s="32" customFormat="1" ht="15" spans="1:15">
      <c r="A594" s="44">
        <v>369</v>
      </c>
      <c r="B594" s="44"/>
      <c r="C594" s="44"/>
      <c r="D594" s="44"/>
      <c r="E594" s="76" t="s">
        <v>129</v>
      </c>
      <c r="F594" s="94" t="s">
        <v>1112</v>
      </c>
      <c r="G594" s="93" t="s">
        <v>1113</v>
      </c>
      <c r="H594" s="94">
        <v>3</v>
      </c>
      <c r="K594" s="95">
        <v>3.4</v>
      </c>
      <c r="L594" s="79">
        <v>0.01</v>
      </c>
      <c r="M594" s="107">
        <f t="shared" si="12"/>
        <v>10.2</v>
      </c>
      <c r="N594" s="76" t="s">
        <v>519</v>
      </c>
      <c r="O594" s="102"/>
    </row>
    <row r="595" s="32" customFormat="1" ht="15" spans="1:15">
      <c r="A595" s="44">
        <v>370</v>
      </c>
      <c r="B595" s="44"/>
      <c r="C595" s="44"/>
      <c r="D595" s="44"/>
      <c r="E595" s="76" t="s">
        <v>129</v>
      </c>
      <c r="F595" s="94" t="s">
        <v>1114</v>
      </c>
      <c r="G595" s="93" t="s">
        <v>1115</v>
      </c>
      <c r="H595" s="94">
        <v>1</v>
      </c>
      <c r="K595" s="95">
        <v>132</v>
      </c>
      <c r="L595" s="79">
        <v>0.01</v>
      </c>
      <c r="M595" s="107">
        <f t="shared" si="12"/>
        <v>132</v>
      </c>
      <c r="N595" s="76" t="s">
        <v>519</v>
      </c>
      <c r="O595" s="103"/>
    </row>
    <row r="596" s="32" customFormat="1" ht="15" spans="1:15">
      <c r="A596" s="44">
        <v>371</v>
      </c>
      <c r="B596" s="44"/>
      <c r="C596" s="44"/>
      <c r="D596" s="44"/>
      <c r="E596" s="76" t="s">
        <v>129</v>
      </c>
      <c r="F596" s="94" t="s">
        <v>1064</v>
      </c>
      <c r="G596" s="93">
        <v>5225</v>
      </c>
      <c r="H596" s="94">
        <v>1</v>
      </c>
      <c r="K596" s="95">
        <v>105</v>
      </c>
      <c r="L596" s="79">
        <v>0.01</v>
      </c>
      <c r="M596" s="107">
        <f t="shared" si="12"/>
        <v>105</v>
      </c>
      <c r="N596" s="76" t="s">
        <v>519</v>
      </c>
      <c r="O596" s="104">
        <v>45989</v>
      </c>
    </row>
    <row r="597" s="32" customFormat="1" ht="15" spans="1:15">
      <c r="A597" s="44">
        <v>372</v>
      </c>
      <c r="B597" s="44"/>
      <c r="C597" s="44"/>
      <c r="D597" s="44"/>
      <c r="E597" s="76" t="s">
        <v>129</v>
      </c>
      <c r="F597" s="94" t="s">
        <v>1088</v>
      </c>
      <c r="G597" s="93"/>
      <c r="H597" s="94">
        <v>1</v>
      </c>
      <c r="K597" s="95">
        <v>190</v>
      </c>
      <c r="L597" s="79">
        <v>0.01</v>
      </c>
      <c r="M597" s="107">
        <f t="shared" si="12"/>
        <v>190</v>
      </c>
      <c r="N597" s="76" t="s">
        <v>519</v>
      </c>
      <c r="O597" s="104"/>
    </row>
    <row r="598" s="32" customFormat="1" ht="15" spans="1:15">
      <c r="A598" s="44">
        <v>373</v>
      </c>
      <c r="B598" s="44"/>
      <c r="C598" s="44"/>
      <c r="D598" s="44"/>
      <c r="E598" s="76" t="s">
        <v>129</v>
      </c>
      <c r="F598" s="94" t="s">
        <v>1116</v>
      </c>
      <c r="G598" s="93"/>
      <c r="H598" s="94">
        <v>2</v>
      </c>
      <c r="K598" s="95">
        <v>36</v>
      </c>
      <c r="L598" s="79">
        <v>0.01</v>
      </c>
      <c r="M598" s="107">
        <f t="shared" si="12"/>
        <v>72</v>
      </c>
      <c r="N598" s="76" t="s">
        <v>519</v>
      </c>
      <c r="O598" s="104"/>
    </row>
    <row r="599" s="32" customFormat="1" ht="15" spans="1:15">
      <c r="A599" s="44">
        <v>374</v>
      </c>
      <c r="B599" s="44"/>
      <c r="C599" s="44"/>
      <c r="D599" s="44"/>
      <c r="E599" s="76" t="s">
        <v>129</v>
      </c>
      <c r="F599" s="94" t="s">
        <v>1117</v>
      </c>
      <c r="G599" s="93"/>
      <c r="H599" s="94">
        <v>2</v>
      </c>
      <c r="K599" s="95">
        <v>16.5</v>
      </c>
      <c r="L599" s="79">
        <v>0.01</v>
      </c>
      <c r="M599" s="107">
        <f t="shared" si="12"/>
        <v>33</v>
      </c>
      <c r="N599" s="76" t="s">
        <v>519</v>
      </c>
      <c r="O599" s="104"/>
    </row>
    <row r="600" s="32" customFormat="1" ht="15" spans="1:15">
      <c r="A600" s="44">
        <v>375</v>
      </c>
      <c r="B600" s="44"/>
      <c r="C600" s="44"/>
      <c r="D600" s="44"/>
      <c r="E600" s="76" t="s">
        <v>129</v>
      </c>
      <c r="F600" s="94" t="s">
        <v>1118</v>
      </c>
      <c r="G600" s="93" t="s">
        <v>1119</v>
      </c>
      <c r="H600" s="94">
        <v>2</v>
      </c>
      <c r="K600" s="95">
        <v>22</v>
      </c>
      <c r="L600" s="79">
        <v>0.01</v>
      </c>
      <c r="M600" s="107">
        <f t="shared" si="12"/>
        <v>44</v>
      </c>
      <c r="N600" s="76" t="s">
        <v>519</v>
      </c>
      <c r="O600" s="104"/>
    </row>
    <row r="601" s="32" customFormat="1" ht="15" spans="1:15">
      <c r="A601" s="44">
        <v>376</v>
      </c>
      <c r="B601" s="44"/>
      <c r="C601" s="44"/>
      <c r="D601" s="44"/>
      <c r="E601" s="76" t="s">
        <v>129</v>
      </c>
      <c r="F601" s="94" t="s">
        <v>1120</v>
      </c>
      <c r="G601" s="93" t="s">
        <v>1121</v>
      </c>
      <c r="H601" s="94">
        <v>1</v>
      </c>
      <c r="K601" s="95">
        <v>6.5</v>
      </c>
      <c r="L601" s="79">
        <v>0.01</v>
      </c>
      <c r="M601" s="107">
        <f t="shared" si="12"/>
        <v>6.5</v>
      </c>
      <c r="N601" s="76" t="s">
        <v>519</v>
      </c>
      <c r="O601" s="104"/>
    </row>
    <row r="602" s="32" customFormat="1" ht="15" spans="1:15">
      <c r="A602" s="44">
        <v>377</v>
      </c>
      <c r="B602" s="44"/>
      <c r="C602" s="44"/>
      <c r="D602" s="44"/>
      <c r="E602" s="76" t="s">
        <v>129</v>
      </c>
      <c r="F602" s="94" t="s">
        <v>898</v>
      </c>
      <c r="G602" s="93"/>
      <c r="H602" s="94">
        <v>1</v>
      </c>
      <c r="K602" s="95">
        <v>65</v>
      </c>
      <c r="L602" s="79">
        <v>0.01</v>
      </c>
      <c r="M602" s="107">
        <f t="shared" si="12"/>
        <v>65</v>
      </c>
      <c r="N602" s="76" t="s">
        <v>519</v>
      </c>
      <c r="O602" s="104"/>
    </row>
    <row r="603" s="32" customFormat="1" ht="15" spans="1:15">
      <c r="A603" s="44">
        <v>378</v>
      </c>
      <c r="E603" s="76" t="s">
        <v>129</v>
      </c>
      <c r="F603" s="94" t="s">
        <v>1122</v>
      </c>
      <c r="G603" s="93" t="s">
        <v>1123</v>
      </c>
      <c r="H603" s="94">
        <v>4</v>
      </c>
      <c r="K603" s="95">
        <v>7.5</v>
      </c>
      <c r="L603" s="79">
        <v>0.01</v>
      </c>
      <c r="M603" s="107">
        <f t="shared" si="12"/>
        <v>30</v>
      </c>
      <c r="N603" s="76" t="s">
        <v>519</v>
      </c>
      <c r="O603" s="104">
        <v>46357</v>
      </c>
    </row>
    <row r="604" s="32" customFormat="1" ht="15" spans="1:15">
      <c r="A604" s="44">
        <v>379</v>
      </c>
      <c r="E604" s="76" t="s">
        <v>129</v>
      </c>
      <c r="F604" s="94" t="s">
        <v>1124</v>
      </c>
      <c r="G604" s="93" t="s">
        <v>1125</v>
      </c>
      <c r="H604" s="94">
        <v>1</v>
      </c>
      <c r="K604" s="95">
        <v>92</v>
      </c>
      <c r="L604" s="79">
        <v>0.01</v>
      </c>
      <c r="M604" s="107">
        <f t="shared" si="12"/>
        <v>92</v>
      </c>
      <c r="N604" s="76" t="s">
        <v>519</v>
      </c>
      <c r="O604" s="104"/>
    </row>
    <row r="605" s="32" customFormat="1" ht="15" spans="1:15">
      <c r="A605" s="44">
        <v>380</v>
      </c>
      <c r="E605" s="76" t="s">
        <v>129</v>
      </c>
      <c r="F605" s="94" t="s">
        <v>1055</v>
      </c>
      <c r="G605" s="93" t="s">
        <v>1126</v>
      </c>
      <c r="H605" s="94">
        <v>1</v>
      </c>
      <c r="K605" s="95">
        <v>350</v>
      </c>
      <c r="L605" s="79">
        <v>0.01</v>
      </c>
      <c r="M605" s="107">
        <f t="shared" si="12"/>
        <v>350</v>
      </c>
      <c r="N605" s="76" t="s">
        <v>519</v>
      </c>
      <c r="O605" s="104"/>
    </row>
    <row r="606" s="32" customFormat="1" ht="15" spans="1:15">
      <c r="A606" s="44">
        <v>381</v>
      </c>
      <c r="E606" s="76" t="s">
        <v>129</v>
      </c>
      <c r="F606" s="94" t="s">
        <v>1127</v>
      </c>
      <c r="G606" s="93" t="s">
        <v>1128</v>
      </c>
      <c r="H606" s="94">
        <v>1</v>
      </c>
      <c r="K606" s="95">
        <v>25</v>
      </c>
      <c r="L606" s="79">
        <v>0.01</v>
      </c>
      <c r="M606" s="107">
        <f t="shared" si="12"/>
        <v>25</v>
      </c>
      <c r="N606" s="76" t="s">
        <v>519</v>
      </c>
      <c r="O606" s="104"/>
    </row>
    <row r="607" s="32" customFormat="1" ht="15" spans="1:15">
      <c r="A607" s="44">
        <v>382</v>
      </c>
      <c r="E607" s="76" t="s">
        <v>129</v>
      </c>
      <c r="F607" s="94" t="s">
        <v>1129</v>
      </c>
      <c r="G607" s="93" t="s">
        <v>1130</v>
      </c>
      <c r="H607" s="94">
        <v>1</v>
      </c>
      <c r="K607" s="95">
        <v>30</v>
      </c>
      <c r="L607" s="79">
        <v>0.01</v>
      </c>
      <c r="M607" s="107">
        <f t="shared" si="12"/>
        <v>30</v>
      </c>
      <c r="N607" s="76" t="s">
        <v>519</v>
      </c>
      <c r="O607" s="104"/>
    </row>
    <row r="608" s="32" customFormat="1" ht="15" spans="1:15">
      <c r="A608" s="44">
        <v>383</v>
      </c>
      <c r="E608" s="76" t="s">
        <v>129</v>
      </c>
      <c r="F608" s="94" t="s">
        <v>1131</v>
      </c>
      <c r="G608" s="93"/>
      <c r="H608" s="94">
        <v>1</v>
      </c>
      <c r="K608" s="95">
        <v>133</v>
      </c>
      <c r="L608" s="79">
        <v>0.01</v>
      </c>
      <c r="M608" s="107">
        <f t="shared" si="12"/>
        <v>133</v>
      </c>
      <c r="N608" s="76" t="s">
        <v>519</v>
      </c>
      <c r="O608" s="104"/>
    </row>
    <row r="609" s="32" customFormat="1" ht="15" spans="1:15">
      <c r="A609" s="44">
        <v>384</v>
      </c>
      <c r="E609" s="76" t="s">
        <v>129</v>
      </c>
      <c r="F609" s="94" t="s">
        <v>1132</v>
      </c>
      <c r="G609" s="93" t="s">
        <v>1133</v>
      </c>
      <c r="H609" s="94">
        <v>1</v>
      </c>
      <c r="K609" s="95">
        <v>185</v>
      </c>
      <c r="L609" s="79">
        <v>0.01</v>
      </c>
      <c r="M609" s="107">
        <f t="shared" si="12"/>
        <v>185</v>
      </c>
      <c r="N609" s="76" t="s">
        <v>519</v>
      </c>
      <c r="O609" s="104"/>
    </row>
    <row r="610" s="32" customFormat="1" ht="15" spans="1:15">
      <c r="A610" s="44">
        <v>385</v>
      </c>
      <c r="E610" s="76" t="s">
        <v>129</v>
      </c>
      <c r="F610" s="94" t="s">
        <v>896</v>
      </c>
      <c r="G610" s="93">
        <v>3</v>
      </c>
      <c r="H610" s="94">
        <v>3</v>
      </c>
      <c r="K610" s="95">
        <v>6</v>
      </c>
      <c r="L610" s="79">
        <v>0.01</v>
      </c>
      <c r="M610" s="107">
        <f t="shared" si="12"/>
        <v>18</v>
      </c>
      <c r="N610" s="76" t="s">
        <v>519</v>
      </c>
      <c r="O610" s="104">
        <v>46359</v>
      </c>
    </row>
    <row r="611" s="32" customFormat="1" ht="15" spans="1:15">
      <c r="A611" s="44">
        <v>386</v>
      </c>
      <c r="E611" s="76" t="s">
        <v>129</v>
      </c>
      <c r="F611" s="94" t="s">
        <v>856</v>
      </c>
      <c r="G611" s="93" t="s">
        <v>1134</v>
      </c>
      <c r="H611" s="94">
        <v>10</v>
      </c>
      <c r="K611" s="95">
        <v>11</v>
      </c>
      <c r="L611" s="79">
        <v>0.01</v>
      </c>
      <c r="M611" s="107">
        <f t="shared" ref="M611:M674" si="13">H611*K611</f>
        <v>110</v>
      </c>
      <c r="N611" s="76" t="s">
        <v>519</v>
      </c>
      <c r="O611" s="104"/>
    </row>
    <row r="612" s="32" customFormat="1" ht="15" spans="1:15">
      <c r="A612" s="44">
        <v>387</v>
      </c>
      <c r="E612" s="76" t="s">
        <v>129</v>
      </c>
      <c r="F612" s="94" t="s">
        <v>1135</v>
      </c>
      <c r="G612" s="93" t="s">
        <v>1136</v>
      </c>
      <c r="H612" s="94">
        <v>10</v>
      </c>
      <c r="K612" s="95">
        <v>0.8</v>
      </c>
      <c r="L612" s="79">
        <v>0.01</v>
      </c>
      <c r="M612" s="107">
        <f t="shared" si="13"/>
        <v>8</v>
      </c>
      <c r="N612" s="76" t="s">
        <v>519</v>
      </c>
      <c r="O612" s="104"/>
    </row>
    <row r="613" s="32" customFormat="1" ht="15" spans="1:15">
      <c r="A613" s="44">
        <v>388</v>
      </c>
      <c r="E613" s="76" t="s">
        <v>129</v>
      </c>
      <c r="F613" s="94" t="s">
        <v>1137</v>
      </c>
      <c r="G613" s="93" t="s">
        <v>1138</v>
      </c>
      <c r="H613" s="94">
        <v>1</v>
      </c>
      <c r="K613" s="95">
        <v>100</v>
      </c>
      <c r="L613" s="79">
        <v>0.01</v>
      </c>
      <c r="M613" s="107">
        <f t="shared" si="13"/>
        <v>100</v>
      </c>
      <c r="N613" s="76" t="s">
        <v>519</v>
      </c>
      <c r="O613" s="104">
        <v>46360</v>
      </c>
    </row>
    <row r="614" s="32" customFormat="1" ht="15" spans="1:15">
      <c r="A614" s="44">
        <v>389</v>
      </c>
      <c r="E614" s="76" t="s">
        <v>129</v>
      </c>
      <c r="F614" s="94" t="s">
        <v>534</v>
      </c>
      <c r="G614" s="93" t="s">
        <v>1139</v>
      </c>
      <c r="H614" s="94">
        <v>10</v>
      </c>
      <c r="K614" s="95">
        <v>44.5</v>
      </c>
      <c r="L614" s="79">
        <v>0.01</v>
      </c>
      <c r="M614" s="107">
        <f t="shared" si="13"/>
        <v>445</v>
      </c>
      <c r="N614" s="76" t="s">
        <v>519</v>
      </c>
      <c r="O614" s="104"/>
    </row>
    <row r="615" s="32" customFormat="1" ht="15" spans="1:15">
      <c r="A615" s="44">
        <v>390</v>
      </c>
      <c r="E615" s="76" t="s">
        <v>129</v>
      </c>
      <c r="F615" s="94" t="s">
        <v>931</v>
      </c>
      <c r="G615" s="93" t="s">
        <v>1140</v>
      </c>
      <c r="H615" s="94">
        <v>1</v>
      </c>
      <c r="K615" s="95">
        <v>245</v>
      </c>
      <c r="L615" s="79">
        <v>0.01</v>
      </c>
      <c r="M615" s="107">
        <f t="shared" si="13"/>
        <v>245</v>
      </c>
      <c r="N615" s="76" t="s">
        <v>519</v>
      </c>
      <c r="O615" s="104"/>
    </row>
    <row r="616" s="32" customFormat="1" ht="15" spans="1:15">
      <c r="A616" s="44">
        <v>391</v>
      </c>
      <c r="E616" s="76" t="s">
        <v>129</v>
      </c>
      <c r="F616" s="94" t="s">
        <v>1141</v>
      </c>
      <c r="G616" s="93" t="s">
        <v>1142</v>
      </c>
      <c r="H616" s="94">
        <v>1</v>
      </c>
      <c r="K616" s="95">
        <v>140</v>
      </c>
      <c r="L616" s="79">
        <v>0.01</v>
      </c>
      <c r="M616" s="107">
        <f t="shared" si="13"/>
        <v>140</v>
      </c>
      <c r="N616" s="76" t="s">
        <v>519</v>
      </c>
      <c r="O616" s="104"/>
    </row>
    <row r="617" s="32" customFormat="1" ht="15" spans="1:15">
      <c r="A617" s="44">
        <v>392</v>
      </c>
      <c r="E617" s="76" t="s">
        <v>129</v>
      </c>
      <c r="F617" s="94" t="s">
        <v>1143</v>
      </c>
      <c r="G617" s="93" t="s">
        <v>1144</v>
      </c>
      <c r="H617" s="94">
        <v>10</v>
      </c>
      <c r="K617" s="95">
        <v>0.8</v>
      </c>
      <c r="L617" s="79">
        <v>0.01</v>
      </c>
      <c r="M617" s="107">
        <f t="shared" si="13"/>
        <v>8</v>
      </c>
      <c r="N617" s="76" t="s">
        <v>519</v>
      </c>
      <c r="O617" s="104"/>
    </row>
    <row r="618" s="32" customFormat="1" ht="15" spans="1:15">
      <c r="A618" s="44">
        <v>393</v>
      </c>
      <c r="E618" s="76" t="s">
        <v>129</v>
      </c>
      <c r="F618" s="94" t="s">
        <v>1143</v>
      </c>
      <c r="G618" s="93" t="s">
        <v>1145</v>
      </c>
      <c r="H618" s="94">
        <v>10</v>
      </c>
      <c r="K618" s="95">
        <v>0.8</v>
      </c>
      <c r="L618" s="79">
        <v>0.01</v>
      </c>
      <c r="M618" s="107">
        <f t="shared" si="13"/>
        <v>8</v>
      </c>
      <c r="N618" s="76" t="s">
        <v>519</v>
      </c>
      <c r="O618" s="104"/>
    </row>
    <row r="619" s="32" customFormat="1" ht="15" spans="1:15">
      <c r="A619" s="44">
        <v>394</v>
      </c>
      <c r="E619" s="76" t="s">
        <v>129</v>
      </c>
      <c r="F619" s="94" t="s">
        <v>917</v>
      </c>
      <c r="G619" s="93" t="s">
        <v>1146</v>
      </c>
      <c r="H619" s="94">
        <v>5</v>
      </c>
      <c r="K619" s="95">
        <v>20</v>
      </c>
      <c r="L619" s="79">
        <v>0.01</v>
      </c>
      <c r="M619" s="107">
        <f t="shared" si="13"/>
        <v>100</v>
      </c>
      <c r="N619" s="76" t="s">
        <v>519</v>
      </c>
      <c r="O619" s="104"/>
    </row>
    <row r="620" s="32" customFormat="1" ht="15" spans="1:15">
      <c r="A620" s="44">
        <v>395</v>
      </c>
      <c r="E620" s="76" t="s">
        <v>129</v>
      </c>
      <c r="F620" s="94" t="s">
        <v>1147</v>
      </c>
      <c r="G620" s="93" t="s">
        <v>1148</v>
      </c>
      <c r="H620" s="94">
        <v>1</v>
      </c>
      <c r="K620" s="95">
        <v>420</v>
      </c>
      <c r="L620" s="79">
        <v>0.01</v>
      </c>
      <c r="M620" s="107">
        <f t="shared" si="13"/>
        <v>420</v>
      </c>
      <c r="N620" s="76" t="s">
        <v>519</v>
      </c>
      <c r="O620" s="104"/>
    </row>
    <row r="621" s="32" customFormat="1" ht="15" spans="1:15">
      <c r="A621" s="44">
        <v>396</v>
      </c>
      <c r="E621" s="76" t="s">
        <v>129</v>
      </c>
      <c r="F621" s="94" t="s">
        <v>1149</v>
      </c>
      <c r="G621" s="93"/>
      <c r="H621" s="94">
        <v>1</v>
      </c>
      <c r="K621" s="95">
        <v>75</v>
      </c>
      <c r="L621" s="79">
        <v>0.01</v>
      </c>
      <c r="M621" s="107">
        <f t="shared" si="13"/>
        <v>75</v>
      </c>
      <c r="N621" s="76" t="s">
        <v>519</v>
      </c>
      <c r="O621" s="104"/>
    </row>
    <row r="622" s="32" customFormat="1" ht="15" spans="1:15">
      <c r="A622" s="44">
        <v>397</v>
      </c>
      <c r="E622" s="76" t="s">
        <v>129</v>
      </c>
      <c r="F622" s="94" t="s">
        <v>1150</v>
      </c>
      <c r="G622" s="93" t="s">
        <v>1151</v>
      </c>
      <c r="H622" s="94">
        <v>1</v>
      </c>
      <c r="K622" s="95">
        <v>3370</v>
      </c>
      <c r="L622" s="79">
        <v>0.01</v>
      </c>
      <c r="M622" s="107">
        <f t="shared" si="13"/>
        <v>3370</v>
      </c>
      <c r="N622" s="76" t="s">
        <v>519</v>
      </c>
      <c r="O622" s="104"/>
    </row>
    <row r="623" s="32" customFormat="1" ht="15" spans="1:15">
      <c r="A623" s="44">
        <v>398</v>
      </c>
      <c r="E623" s="76" t="s">
        <v>129</v>
      </c>
      <c r="F623" s="94" t="s">
        <v>1150</v>
      </c>
      <c r="G623" s="93" t="s">
        <v>1152</v>
      </c>
      <c r="H623" s="94">
        <v>1</v>
      </c>
      <c r="K623" s="95">
        <v>2425</v>
      </c>
      <c r="L623" s="79">
        <v>0.01</v>
      </c>
      <c r="M623" s="107">
        <f t="shared" si="13"/>
        <v>2425</v>
      </c>
      <c r="N623" s="76" t="s">
        <v>519</v>
      </c>
      <c r="O623" s="104"/>
    </row>
    <row r="624" s="32" customFormat="1" ht="15" spans="1:15">
      <c r="A624" s="44">
        <v>399</v>
      </c>
      <c r="E624" s="76" t="s">
        <v>129</v>
      </c>
      <c r="F624" s="94" t="s">
        <v>1153</v>
      </c>
      <c r="G624" s="93"/>
      <c r="H624" s="94">
        <v>3</v>
      </c>
      <c r="K624" s="95">
        <v>5</v>
      </c>
      <c r="L624" s="79">
        <v>0.01</v>
      </c>
      <c r="M624" s="107">
        <f t="shared" si="13"/>
        <v>15</v>
      </c>
      <c r="N624" s="76" t="s">
        <v>519</v>
      </c>
      <c r="O624" s="104">
        <v>46361</v>
      </c>
    </row>
    <row r="625" s="32" customFormat="1" ht="15" spans="1:15">
      <c r="A625" s="44">
        <v>400</v>
      </c>
      <c r="E625" s="76" t="s">
        <v>129</v>
      </c>
      <c r="F625" s="94" t="s">
        <v>1154</v>
      </c>
      <c r="G625" s="93" t="s">
        <v>1155</v>
      </c>
      <c r="H625" s="94">
        <v>200</v>
      </c>
      <c r="K625" s="95">
        <v>0.75</v>
      </c>
      <c r="L625" s="79">
        <v>0.01</v>
      </c>
      <c r="M625" s="107">
        <f t="shared" si="13"/>
        <v>150</v>
      </c>
      <c r="N625" s="76" t="s">
        <v>519</v>
      </c>
      <c r="O625" s="104"/>
    </row>
    <row r="626" s="32" customFormat="1" ht="15" spans="1:15">
      <c r="A626" s="44">
        <v>401</v>
      </c>
      <c r="E626" s="76" t="s">
        <v>129</v>
      </c>
      <c r="F626" s="94" t="s">
        <v>1156</v>
      </c>
      <c r="G626" s="93" t="s">
        <v>1157</v>
      </c>
      <c r="H626" s="94">
        <v>2</v>
      </c>
      <c r="K626" s="95">
        <v>18</v>
      </c>
      <c r="L626" s="79">
        <v>0.01</v>
      </c>
      <c r="M626" s="107">
        <f t="shared" si="13"/>
        <v>36</v>
      </c>
      <c r="N626" s="76" t="s">
        <v>519</v>
      </c>
      <c r="O626" s="104"/>
    </row>
    <row r="627" s="32" customFormat="1" ht="15" spans="1:15">
      <c r="A627" s="44">
        <v>402</v>
      </c>
      <c r="E627" s="76" t="s">
        <v>129</v>
      </c>
      <c r="F627" s="94" t="s">
        <v>1158</v>
      </c>
      <c r="G627" s="93" t="s">
        <v>576</v>
      </c>
      <c r="H627" s="94">
        <v>5</v>
      </c>
      <c r="K627" s="95">
        <v>30</v>
      </c>
      <c r="L627" s="79">
        <v>0.01</v>
      </c>
      <c r="M627" s="107">
        <f t="shared" si="13"/>
        <v>150</v>
      </c>
      <c r="N627" s="76" t="s">
        <v>519</v>
      </c>
      <c r="O627" s="104"/>
    </row>
    <row r="628" s="32" customFormat="1" ht="15" spans="1:15">
      <c r="A628" s="44">
        <v>403</v>
      </c>
      <c r="E628" s="76" t="s">
        <v>129</v>
      </c>
      <c r="F628" s="94" t="s">
        <v>1159</v>
      </c>
      <c r="G628" s="93" t="s">
        <v>1160</v>
      </c>
      <c r="H628" s="94">
        <v>1</v>
      </c>
      <c r="K628" s="95">
        <v>10</v>
      </c>
      <c r="L628" s="79">
        <v>0.01</v>
      </c>
      <c r="M628" s="107">
        <f t="shared" si="13"/>
        <v>10</v>
      </c>
      <c r="N628" s="76" t="s">
        <v>519</v>
      </c>
      <c r="O628" s="104"/>
    </row>
    <row r="629" s="32" customFormat="1" ht="15" spans="1:15">
      <c r="A629" s="44">
        <v>404</v>
      </c>
      <c r="E629" s="76" t="s">
        <v>129</v>
      </c>
      <c r="F629" s="94" t="s">
        <v>1161</v>
      </c>
      <c r="G629" s="93" t="s">
        <v>788</v>
      </c>
      <c r="H629" s="94">
        <v>30</v>
      </c>
      <c r="K629" s="95">
        <v>3</v>
      </c>
      <c r="L629" s="79">
        <v>0.01</v>
      </c>
      <c r="M629" s="107">
        <f t="shared" si="13"/>
        <v>90</v>
      </c>
      <c r="N629" s="76" t="s">
        <v>519</v>
      </c>
      <c r="O629" s="104">
        <v>46365</v>
      </c>
    </row>
    <row r="630" s="32" customFormat="1" ht="15" spans="1:15">
      <c r="A630" s="44">
        <v>405</v>
      </c>
      <c r="E630" s="76" t="s">
        <v>129</v>
      </c>
      <c r="F630" s="94" t="s">
        <v>1162</v>
      </c>
      <c r="G630" s="93" t="s">
        <v>1163</v>
      </c>
      <c r="H630" s="94">
        <v>20</v>
      </c>
      <c r="K630" s="95">
        <v>4.7</v>
      </c>
      <c r="L630" s="79">
        <v>0.01</v>
      </c>
      <c r="M630" s="107">
        <f t="shared" si="13"/>
        <v>94</v>
      </c>
      <c r="N630" s="76" t="s">
        <v>519</v>
      </c>
      <c r="O630" s="104"/>
    </row>
    <row r="631" s="32" customFormat="1" ht="15" spans="1:15">
      <c r="A631" s="44">
        <v>406</v>
      </c>
      <c r="E631" s="76" t="s">
        <v>129</v>
      </c>
      <c r="F631" s="94" t="s">
        <v>1164</v>
      </c>
      <c r="G631" s="93" t="s">
        <v>1165</v>
      </c>
      <c r="H631" s="94">
        <v>30</v>
      </c>
      <c r="K631" s="95">
        <v>6</v>
      </c>
      <c r="L631" s="79">
        <v>0.01</v>
      </c>
      <c r="M631" s="107">
        <f t="shared" si="13"/>
        <v>180</v>
      </c>
      <c r="N631" s="76" t="s">
        <v>519</v>
      </c>
      <c r="O631" s="104"/>
    </row>
    <row r="632" s="32" customFormat="1" ht="15" spans="1:15">
      <c r="A632" s="44">
        <v>407</v>
      </c>
      <c r="E632" s="76" t="s">
        <v>129</v>
      </c>
      <c r="F632" s="94" t="s">
        <v>1166</v>
      </c>
      <c r="G632" s="93" t="s">
        <v>1167</v>
      </c>
      <c r="H632" s="94">
        <v>1</v>
      </c>
      <c r="K632" s="95">
        <v>30</v>
      </c>
      <c r="L632" s="79">
        <v>0.01</v>
      </c>
      <c r="M632" s="107">
        <f t="shared" si="13"/>
        <v>30</v>
      </c>
      <c r="N632" s="76" t="s">
        <v>519</v>
      </c>
      <c r="O632" s="104"/>
    </row>
    <row r="633" s="32" customFormat="1" ht="15" spans="1:15">
      <c r="A633" s="44">
        <v>408</v>
      </c>
      <c r="E633" s="76" t="s">
        <v>129</v>
      </c>
      <c r="F633" s="94" t="s">
        <v>1168</v>
      </c>
      <c r="G633" s="93" t="s">
        <v>1169</v>
      </c>
      <c r="H633" s="94">
        <v>1</v>
      </c>
      <c r="K633" s="95">
        <v>135</v>
      </c>
      <c r="L633" s="79">
        <v>0.01</v>
      </c>
      <c r="M633" s="107">
        <f t="shared" si="13"/>
        <v>135</v>
      </c>
      <c r="N633" s="76" t="s">
        <v>519</v>
      </c>
      <c r="O633" s="104">
        <v>46367</v>
      </c>
    </row>
    <row r="634" s="32" customFormat="1" ht="15" spans="1:15">
      <c r="A634" s="44">
        <v>409</v>
      </c>
      <c r="E634" s="76" t="s">
        <v>129</v>
      </c>
      <c r="F634" s="94" t="s">
        <v>1170</v>
      </c>
      <c r="G634" s="93" t="s">
        <v>1171</v>
      </c>
      <c r="H634" s="94">
        <v>1</v>
      </c>
      <c r="K634" s="95">
        <v>510</v>
      </c>
      <c r="L634" s="79">
        <v>0.01</v>
      </c>
      <c r="M634" s="107">
        <f t="shared" si="13"/>
        <v>510</v>
      </c>
      <c r="N634" s="76" t="s">
        <v>519</v>
      </c>
      <c r="O634" s="104">
        <v>46368</v>
      </c>
    </row>
    <row r="635" s="32" customFormat="1" ht="15" spans="1:15">
      <c r="A635" s="44">
        <v>410</v>
      </c>
      <c r="E635" s="76" t="s">
        <v>129</v>
      </c>
      <c r="F635" s="94" t="s">
        <v>1153</v>
      </c>
      <c r="G635" s="93" t="s">
        <v>1172</v>
      </c>
      <c r="H635" s="94">
        <v>1</v>
      </c>
      <c r="K635" s="95">
        <v>7</v>
      </c>
      <c r="L635" s="79">
        <v>0.01</v>
      </c>
      <c r="M635" s="107">
        <f t="shared" si="13"/>
        <v>7</v>
      </c>
      <c r="N635" s="76" t="s">
        <v>519</v>
      </c>
      <c r="O635" s="104"/>
    </row>
    <row r="636" s="32" customFormat="1" ht="15" spans="1:15">
      <c r="A636" s="44">
        <v>411</v>
      </c>
      <c r="E636" s="76" t="s">
        <v>129</v>
      </c>
      <c r="F636" s="94" t="s">
        <v>1173</v>
      </c>
      <c r="G636" s="93" t="s">
        <v>1174</v>
      </c>
      <c r="H636" s="94">
        <v>1</v>
      </c>
      <c r="K636" s="95">
        <v>16</v>
      </c>
      <c r="L636" s="79">
        <v>0.01</v>
      </c>
      <c r="M636" s="107">
        <f t="shared" si="13"/>
        <v>16</v>
      </c>
      <c r="N636" s="76" t="s">
        <v>519</v>
      </c>
      <c r="O636" s="104">
        <v>46371</v>
      </c>
    </row>
    <row r="637" s="32" customFormat="1" ht="15" spans="1:15">
      <c r="A637" s="44">
        <v>412</v>
      </c>
      <c r="E637" s="76" t="s">
        <v>129</v>
      </c>
      <c r="F637" s="94" t="s">
        <v>1175</v>
      </c>
      <c r="G637" s="93" t="s">
        <v>1176</v>
      </c>
      <c r="H637" s="94">
        <v>1</v>
      </c>
      <c r="K637" s="95">
        <v>13</v>
      </c>
      <c r="L637" s="79">
        <v>0.01</v>
      </c>
      <c r="M637" s="107">
        <f t="shared" si="13"/>
        <v>13</v>
      </c>
      <c r="N637" s="76" t="s">
        <v>519</v>
      </c>
      <c r="O637" s="104"/>
    </row>
    <row r="638" s="32" customFormat="1" ht="15" spans="1:15">
      <c r="A638" s="44">
        <v>413</v>
      </c>
      <c r="E638" s="76" t="s">
        <v>129</v>
      </c>
      <c r="F638" s="94" t="s">
        <v>1177</v>
      </c>
      <c r="G638" s="93" t="s">
        <v>1178</v>
      </c>
      <c r="H638" s="94">
        <v>2</v>
      </c>
      <c r="K638" s="95">
        <v>15</v>
      </c>
      <c r="L638" s="79">
        <v>0.01</v>
      </c>
      <c r="M638" s="107">
        <f t="shared" si="13"/>
        <v>30</v>
      </c>
      <c r="N638" s="76" t="s">
        <v>519</v>
      </c>
      <c r="O638" s="104"/>
    </row>
    <row r="639" s="32" customFormat="1" ht="15" spans="1:15">
      <c r="A639" s="44">
        <v>414</v>
      </c>
      <c r="E639" s="76" t="s">
        <v>129</v>
      </c>
      <c r="F639" s="94" t="s">
        <v>1179</v>
      </c>
      <c r="G639" s="93"/>
      <c r="H639" s="94">
        <v>5</v>
      </c>
      <c r="K639" s="95">
        <v>3.5</v>
      </c>
      <c r="L639" s="79">
        <v>0.01</v>
      </c>
      <c r="M639" s="107">
        <f t="shared" si="13"/>
        <v>17.5</v>
      </c>
      <c r="N639" s="76" t="s">
        <v>519</v>
      </c>
      <c r="O639" s="104"/>
    </row>
    <row r="640" s="32" customFormat="1" ht="15" spans="1:15">
      <c r="A640" s="44">
        <v>415</v>
      </c>
      <c r="E640" s="76" t="s">
        <v>129</v>
      </c>
      <c r="F640" s="94" t="s">
        <v>1089</v>
      </c>
      <c r="G640" s="93" t="s">
        <v>1180</v>
      </c>
      <c r="H640" s="94">
        <v>15</v>
      </c>
      <c r="K640" s="95">
        <v>2.2</v>
      </c>
      <c r="L640" s="79">
        <v>0.01</v>
      </c>
      <c r="M640" s="107">
        <f t="shared" si="13"/>
        <v>33</v>
      </c>
      <c r="N640" s="76" t="s">
        <v>519</v>
      </c>
      <c r="O640" s="104"/>
    </row>
    <row r="641" s="32" customFormat="1" ht="15" spans="1:15">
      <c r="A641" s="44">
        <v>416</v>
      </c>
      <c r="E641" s="76" t="s">
        <v>129</v>
      </c>
      <c r="F641" s="94" t="s">
        <v>754</v>
      </c>
      <c r="G641" s="93" t="s">
        <v>1181</v>
      </c>
      <c r="H641" s="94">
        <v>2</v>
      </c>
      <c r="K641" s="95">
        <v>55</v>
      </c>
      <c r="L641" s="79">
        <v>0.01</v>
      </c>
      <c r="M641" s="107">
        <f t="shared" si="13"/>
        <v>110</v>
      </c>
      <c r="N641" s="76" t="s">
        <v>519</v>
      </c>
      <c r="O641" s="104"/>
    </row>
    <row r="642" s="32" customFormat="1" ht="15" spans="1:15">
      <c r="A642" s="44">
        <v>417</v>
      </c>
      <c r="E642" s="76" t="s">
        <v>129</v>
      </c>
      <c r="F642" s="94" t="s">
        <v>1182</v>
      </c>
      <c r="G642" s="93" t="s">
        <v>1183</v>
      </c>
      <c r="H642" s="94">
        <v>1</v>
      </c>
      <c r="K642" s="95">
        <v>330</v>
      </c>
      <c r="L642" s="79">
        <v>0.01</v>
      </c>
      <c r="M642" s="107">
        <f t="shared" si="13"/>
        <v>330</v>
      </c>
      <c r="N642" s="76" t="s">
        <v>519</v>
      </c>
      <c r="O642" s="104"/>
    </row>
    <row r="643" s="32" customFormat="1" ht="15" spans="1:15">
      <c r="A643" s="44">
        <v>418</v>
      </c>
      <c r="E643" s="76" t="s">
        <v>129</v>
      </c>
      <c r="F643" s="94" t="s">
        <v>623</v>
      </c>
      <c r="G643" s="93" t="s">
        <v>1184</v>
      </c>
      <c r="H643" s="94">
        <v>5</v>
      </c>
      <c r="K643" s="95">
        <v>22</v>
      </c>
      <c r="L643" s="79">
        <v>0.01</v>
      </c>
      <c r="M643" s="107">
        <f t="shared" si="13"/>
        <v>110</v>
      </c>
      <c r="N643" s="76" t="s">
        <v>519</v>
      </c>
      <c r="O643" s="104"/>
    </row>
    <row r="644" s="32" customFormat="1" ht="15" spans="1:15">
      <c r="A644" s="44">
        <v>419</v>
      </c>
      <c r="E644" s="76" t="s">
        <v>129</v>
      </c>
      <c r="F644" s="94" t="s">
        <v>1185</v>
      </c>
      <c r="G644" s="93" t="s">
        <v>1186</v>
      </c>
      <c r="H644" s="94">
        <v>50</v>
      </c>
      <c r="K644" s="95">
        <v>2.2</v>
      </c>
      <c r="L644" s="79">
        <v>0.01</v>
      </c>
      <c r="M644" s="107">
        <f t="shared" si="13"/>
        <v>110</v>
      </c>
      <c r="N644" s="76" t="s">
        <v>519</v>
      </c>
      <c r="O644" s="104"/>
    </row>
    <row r="645" s="32" customFormat="1" ht="15" spans="1:15">
      <c r="A645" s="44">
        <v>420</v>
      </c>
      <c r="E645" s="76" t="s">
        <v>129</v>
      </c>
      <c r="F645" s="94" t="s">
        <v>1143</v>
      </c>
      <c r="G645" s="93" t="s">
        <v>1187</v>
      </c>
      <c r="H645" s="94">
        <v>20</v>
      </c>
      <c r="K645" s="95">
        <v>1.5</v>
      </c>
      <c r="L645" s="79">
        <v>0.01</v>
      </c>
      <c r="M645" s="107">
        <f t="shared" si="13"/>
        <v>30</v>
      </c>
      <c r="N645" s="76" t="s">
        <v>519</v>
      </c>
      <c r="O645" s="104">
        <v>46372</v>
      </c>
    </row>
    <row r="646" s="32" customFormat="1" ht="15" spans="1:15">
      <c r="A646" s="44">
        <v>421</v>
      </c>
      <c r="E646" s="76" t="s">
        <v>129</v>
      </c>
      <c r="F646" s="94" t="s">
        <v>1188</v>
      </c>
      <c r="G646" s="93" t="s">
        <v>1189</v>
      </c>
      <c r="H646" s="94">
        <v>4</v>
      </c>
      <c r="K646" s="95">
        <v>5.5</v>
      </c>
      <c r="L646" s="79">
        <v>0.01</v>
      </c>
      <c r="M646" s="107">
        <f t="shared" si="13"/>
        <v>22</v>
      </c>
      <c r="N646" s="76" t="s">
        <v>519</v>
      </c>
      <c r="O646" s="104"/>
    </row>
    <row r="647" s="32" customFormat="1" ht="15" spans="1:15">
      <c r="A647" s="44">
        <v>422</v>
      </c>
      <c r="E647" s="76" t="s">
        <v>129</v>
      </c>
      <c r="F647" s="94" t="s">
        <v>1190</v>
      </c>
      <c r="G647" s="93" t="s">
        <v>1191</v>
      </c>
      <c r="H647" s="94">
        <v>120</v>
      </c>
      <c r="K647" s="95">
        <v>2.85</v>
      </c>
      <c r="L647" s="79">
        <v>0.01</v>
      </c>
      <c r="M647" s="107">
        <f t="shared" si="13"/>
        <v>342</v>
      </c>
      <c r="N647" s="76" t="s">
        <v>519</v>
      </c>
      <c r="O647" s="104"/>
    </row>
    <row r="648" s="32" customFormat="1" ht="15" spans="1:15">
      <c r="A648" s="44">
        <v>423</v>
      </c>
      <c r="E648" s="76" t="s">
        <v>129</v>
      </c>
      <c r="F648" s="94" t="s">
        <v>1192</v>
      </c>
      <c r="G648" s="93" t="s">
        <v>1193</v>
      </c>
      <c r="H648" s="94">
        <v>1</v>
      </c>
      <c r="K648" s="95">
        <v>43</v>
      </c>
      <c r="L648" s="79">
        <v>0.01</v>
      </c>
      <c r="M648" s="107">
        <f t="shared" si="13"/>
        <v>43</v>
      </c>
      <c r="N648" s="76" t="s">
        <v>519</v>
      </c>
      <c r="O648" s="104"/>
    </row>
    <row r="649" s="32" customFormat="1" ht="15" spans="1:15">
      <c r="A649" s="44">
        <v>424</v>
      </c>
      <c r="E649" s="76" t="s">
        <v>129</v>
      </c>
      <c r="F649" s="94" t="s">
        <v>1192</v>
      </c>
      <c r="G649" s="93" t="s">
        <v>1194</v>
      </c>
      <c r="H649" s="94">
        <v>1</v>
      </c>
      <c r="K649" s="95">
        <v>43</v>
      </c>
      <c r="L649" s="79">
        <v>0.01</v>
      </c>
      <c r="M649" s="107">
        <f t="shared" si="13"/>
        <v>43</v>
      </c>
      <c r="N649" s="76" t="s">
        <v>519</v>
      </c>
      <c r="O649" s="104"/>
    </row>
    <row r="650" s="32" customFormat="1" ht="15" spans="1:15">
      <c r="A650" s="44">
        <v>425</v>
      </c>
      <c r="E650" s="76" t="s">
        <v>129</v>
      </c>
      <c r="F650" s="94" t="s">
        <v>1195</v>
      </c>
      <c r="G650" s="93" t="s">
        <v>1196</v>
      </c>
      <c r="H650" s="94">
        <v>1</v>
      </c>
      <c r="K650" s="95">
        <v>30</v>
      </c>
      <c r="L650" s="79">
        <v>0.01</v>
      </c>
      <c r="M650" s="107">
        <f t="shared" si="13"/>
        <v>30</v>
      </c>
      <c r="N650" s="76" t="s">
        <v>519</v>
      </c>
      <c r="O650" s="104"/>
    </row>
    <row r="651" s="32" customFormat="1" ht="15" spans="1:15">
      <c r="A651" s="44">
        <v>426</v>
      </c>
      <c r="E651" s="76" t="s">
        <v>129</v>
      </c>
      <c r="F651" s="94" t="s">
        <v>896</v>
      </c>
      <c r="G651" s="93" t="s">
        <v>1197</v>
      </c>
      <c r="H651" s="94">
        <v>2</v>
      </c>
      <c r="K651" s="95">
        <v>7</v>
      </c>
      <c r="L651" s="79">
        <v>0.01</v>
      </c>
      <c r="M651" s="107">
        <f t="shared" si="13"/>
        <v>14</v>
      </c>
      <c r="N651" s="76" t="s">
        <v>519</v>
      </c>
      <c r="O651" s="104"/>
    </row>
    <row r="652" s="32" customFormat="1" ht="15" spans="1:15">
      <c r="A652" s="44">
        <v>427</v>
      </c>
      <c r="E652" s="76" t="s">
        <v>129</v>
      </c>
      <c r="F652" s="94" t="s">
        <v>1198</v>
      </c>
      <c r="G652" s="93" t="s">
        <v>1199</v>
      </c>
      <c r="H652" s="94">
        <v>2</v>
      </c>
      <c r="K652" s="95">
        <v>11</v>
      </c>
      <c r="L652" s="79">
        <v>0.01</v>
      </c>
      <c r="M652" s="107">
        <f t="shared" si="13"/>
        <v>22</v>
      </c>
      <c r="N652" s="76" t="s">
        <v>519</v>
      </c>
      <c r="O652" s="104">
        <v>46374</v>
      </c>
    </row>
    <row r="653" s="32" customFormat="1" ht="15" spans="1:15">
      <c r="A653" s="44">
        <v>428</v>
      </c>
      <c r="E653" s="76" t="s">
        <v>129</v>
      </c>
      <c r="F653" s="94" t="s">
        <v>1200</v>
      </c>
      <c r="G653" s="93" t="s">
        <v>1201</v>
      </c>
      <c r="H653" s="94">
        <v>1</v>
      </c>
      <c r="K653" s="95">
        <v>108</v>
      </c>
      <c r="L653" s="79">
        <v>0.01</v>
      </c>
      <c r="M653" s="107">
        <f t="shared" si="13"/>
        <v>108</v>
      </c>
      <c r="N653" s="76" t="s">
        <v>519</v>
      </c>
      <c r="O653" s="104"/>
    </row>
    <row r="654" s="32" customFormat="1" ht="15" spans="1:15">
      <c r="A654" s="44">
        <v>429</v>
      </c>
      <c r="E654" s="76" t="s">
        <v>129</v>
      </c>
      <c r="F654" s="94" t="s">
        <v>1202</v>
      </c>
      <c r="G654" s="93" t="s">
        <v>1203</v>
      </c>
      <c r="H654" s="94">
        <v>2</v>
      </c>
      <c r="K654" s="95">
        <v>7.5</v>
      </c>
      <c r="L654" s="79">
        <v>0.01</v>
      </c>
      <c r="M654" s="107">
        <f t="shared" si="13"/>
        <v>15</v>
      </c>
      <c r="N654" s="76" t="s">
        <v>519</v>
      </c>
      <c r="O654" s="104"/>
    </row>
    <row r="655" s="32" customFormat="1" ht="15" spans="1:15">
      <c r="A655" s="44">
        <v>430</v>
      </c>
      <c r="E655" s="76" t="s">
        <v>129</v>
      </c>
      <c r="F655" s="94" t="s">
        <v>1108</v>
      </c>
      <c r="G655" s="93" t="s">
        <v>1109</v>
      </c>
      <c r="H655" s="94">
        <v>6</v>
      </c>
      <c r="K655" s="95">
        <v>14.5</v>
      </c>
      <c r="L655" s="79">
        <v>0.01</v>
      </c>
      <c r="M655" s="107">
        <f t="shared" si="13"/>
        <v>87</v>
      </c>
      <c r="N655" s="76" t="s">
        <v>519</v>
      </c>
      <c r="O655" s="104"/>
    </row>
    <row r="656" s="32" customFormat="1" ht="15" spans="1:15">
      <c r="A656" s="44">
        <v>431</v>
      </c>
      <c r="E656" s="76" t="s">
        <v>129</v>
      </c>
      <c r="F656" s="94" t="s">
        <v>1204</v>
      </c>
      <c r="G656" s="93"/>
      <c r="H656" s="94">
        <v>15</v>
      </c>
      <c r="K656" s="95">
        <v>5.5</v>
      </c>
      <c r="L656" s="79">
        <v>0.01</v>
      </c>
      <c r="M656" s="107">
        <f t="shared" si="13"/>
        <v>82.5</v>
      </c>
      <c r="N656" s="76" t="s">
        <v>519</v>
      </c>
      <c r="O656" s="104"/>
    </row>
    <row r="657" s="32" customFormat="1" ht="15" spans="1:15">
      <c r="A657" s="44">
        <v>432</v>
      </c>
      <c r="E657" s="76" t="s">
        <v>129</v>
      </c>
      <c r="F657" s="94" t="s">
        <v>1205</v>
      </c>
      <c r="G657" s="93" t="s">
        <v>1206</v>
      </c>
      <c r="H657" s="94">
        <v>20</v>
      </c>
      <c r="K657" s="95">
        <v>21.5</v>
      </c>
      <c r="L657" s="79">
        <v>0.01</v>
      </c>
      <c r="M657" s="107">
        <f t="shared" si="13"/>
        <v>430</v>
      </c>
      <c r="N657" s="76" t="s">
        <v>519</v>
      </c>
      <c r="O657" s="104"/>
    </row>
    <row r="658" s="32" customFormat="1" ht="15" spans="1:15">
      <c r="A658" s="44">
        <v>433</v>
      </c>
      <c r="E658" s="76" t="s">
        <v>129</v>
      </c>
      <c r="F658" s="94" t="s">
        <v>1207</v>
      </c>
      <c r="G658" s="93" t="s">
        <v>1208</v>
      </c>
      <c r="H658" s="94">
        <v>1</v>
      </c>
      <c r="K658" s="95">
        <v>16.5</v>
      </c>
      <c r="L658" s="79">
        <v>0.01</v>
      </c>
      <c r="M658" s="107">
        <f t="shared" si="13"/>
        <v>16.5</v>
      </c>
      <c r="N658" s="76" t="s">
        <v>519</v>
      </c>
      <c r="O658" s="104"/>
    </row>
    <row r="659" s="32" customFormat="1" ht="15" spans="1:15">
      <c r="A659" s="44">
        <v>434</v>
      </c>
      <c r="E659" s="76" t="s">
        <v>129</v>
      </c>
      <c r="F659" s="94" t="s">
        <v>1209</v>
      </c>
      <c r="G659" s="93" t="s">
        <v>1210</v>
      </c>
      <c r="H659" s="94">
        <v>5</v>
      </c>
      <c r="K659" s="95">
        <v>29.5</v>
      </c>
      <c r="L659" s="79">
        <v>0.01</v>
      </c>
      <c r="M659" s="107">
        <f t="shared" si="13"/>
        <v>147.5</v>
      </c>
      <c r="N659" s="76" t="s">
        <v>519</v>
      </c>
      <c r="O659" s="104"/>
    </row>
    <row r="660" s="32" customFormat="1" ht="15" spans="1:15">
      <c r="A660" s="44">
        <v>435</v>
      </c>
      <c r="E660" s="76" t="s">
        <v>129</v>
      </c>
      <c r="F660" s="94" t="s">
        <v>1211</v>
      </c>
      <c r="G660" s="93" t="s">
        <v>1212</v>
      </c>
      <c r="H660" s="94">
        <v>5</v>
      </c>
      <c r="K660" s="95">
        <v>10</v>
      </c>
      <c r="L660" s="79">
        <v>0.01</v>
      </c>
      <c r="M660" s="107">
        <f t="shared" si="13"/>
        <v>50</v>
      </c>
      <c r="N660" s="76" t="s">
        <v>519</v>
      </c>
      <c r="O660" s="104"/>
    </row>
    <row r="661" s="32" customFormat="1" ht="15" spans="1:15">
      <c r="A661" s="44">
        <v>436</v>
      </c>
      <c r="E661" s="76" t="s">
        <v>129</v>
      </c>
      <c r="F661" s="94" t="s">
        <v>1213</v>
      </c>
      <c r="G661" s="93" t="s">
        <v>1214</v>
      </c>
      <c r="H661" s="94">
        <v>2</v>
      </c>
      <c r="K661" s="95">
        <v>5.5</v>
      </c>
      <c r="L661" s="79">
        <v>0.01</v>
      </c>
      <c r="M661" s="107">
        <f t="shared" si="13"/>
        <v>11</v>
      </c>
      <c r="N661" s="76" t="s">
        <v>519</v>
      </c>
      <c r="O661" s="104"/>
    </row>
    <row r="662" s="32" customFormat="1" ht="15" spans="1:15">
      <c r="A662" s="44">
        <v>437</v>
      </c>
      <c r="E662" s="76" t="s">
        <v>129</v>
      </c>
      <c r="F662" s="94" t="s">
        <v>896</v>
      </c>
      <c r="G662" s="93" t="s">
        <v>1215</v>
      </c>
      <c r="H662" s="94">
        <v>2</v>
      </c>
      <c r="K662" s="95">
        <v>4.5</v>
      </c>
      <c r="L662" s="79">
        <v>0.01</v>
      </c>
      <c r="M662" s="107">
        <f t="shared" si="13"/>
        <v>9</v>
      </c>
      <c r="N662" s="76" t="s">
        <v>519</v>
      </c>
      <c r="O662" s="104">
        <v>46375</v>
      </c>
    </row>
    <row r="663" s="32" customFormat="1" ht="15" spans="1:15">
      <c r="A663" s="44">
        <v>438</v>
      </c>
      <c r="E663" s="76" t="s">
        <v>129</v>
      </c>
      <c r="F663" s="94" t="s">
        <v>1216</v>
      </c>
      <c r="G663" s="93" t="s">
        <v>1217</v>
      </c>
      <c r="H663" s="94">
        <v>1</v>
      </c>
      <c r="K663" s="95">
        <v>12</v>
      </c>
      <c r="L663" s="79">
        <v>0.01</v>
      </c>
      <c r="M663" s="107">
        <f t="shared" si="13"/>
        <v>12</v>
      </c>
      <c r="N663" s="76" t="s">
        <v>519</v>
      </c>
      <c r="O663" s="104"/>
    </row>
    <row r="664" s="32" customFormat="1" ht="15" spans="1:15">
      <c r="A664" s="44">
        <v>439</v>
      </c>
      <c r="E664" s="76" t="s">
        <v>129</v>
      </c>
      <c r="F664" s="94" t="s">
        <v>623</v>
      </c>
      <c r="G664" s="93" t="s">
        <v>1218</v>
      </c>
      <c r="H664" s="94">
        <v>1</v>
      </c>
      <c r="K664" s="95">
        <v>41</v>
      </c>
      <c r="L664" s="79">
        <v>0.01</v>
      </c>
      <c r="M664" s="107">
        <f t="shared" si="13"/>
        <v>41</v>
      </c>
      <c r="N664" s="76" t="s">
        <v>519</v>
      </c>
      <c r="O664" s="104"/>
    </row>
    <row r="665" s="32" customFormat="1" ht="15" spans="1:15">
      <c r="A665" s="44">
        <v>440</v>
      </c>
      <c r="E665" s="76" t="s">
        <v>129</v>
      </c>
      <c r="F665" s="94" t="s">
        <v>1219</v>
      </c>
      <c r="G665" s="93" t="s">
        <v>1220</v>
      </c>
      <c r="H665" s="94">
        <v>1</v>
      </c>
      <c r="K665" s="95">
        <v>23</v>
      </c>
      <c r="L665" s="79">
        <v>0.01</v>
      </c>
      <c r="M665" s="107">
        <f t="shared" si="13"/>
        <v>23</v>
      </c>
      <c r="N665" s="76" t="s">
        <v>519</v>
      </c>
      <c r="O665" s="104"/>
    </row>
    <row r="666" s="32" customFormat="1" ht="15" spans="1:15">
      <c r="A666" s="44">
        <v>441</v>
      </c>
      <c r="E666" s="76" t="s">
        <v>129</v>
      </c>
      <c r="F666" s="94" t="s">
        <v>1221</v>
      </c>
      <c r="G666" s="93" t="s">
        <v>1222</v>
      </c>
      <c r="H666" s="94">
        <v>1</v>
      </c>
      <c r="K666" s="95">
        <v>6.5</v>
      </c>
      <c r="L666" s="79">
        <v>0.01</v>
      </c>
      <c r="M666" s="107">
        <f t="shared" si="13"/>
        <v>6.5</v>
      </c>
      <c r="N666" s="76" t="s">
        <v>519</v>
      </c>
      <c r="O666" s="104"/>
    </row>
    <row r="667" s="32" customFormat="1" ht="15" spans="1:15">
      <c r="A667" s="44">
        <v>442</v>
      </c>
      <c r="E667" s="76" t="s">
        <v>129</v>
      </c>
      <c r="F667" s="94" t="s">
        <v>1221</v>
      </c>
      <c r="G667" s="93" t="s">
        <v>1223</v>
      </c>
      <c r="H667" s="94">
        <v>1</v>
      </c>
      <c r="K667" s="95">
        <v>6.5</v>
      </c>
      <c r="L667" s="79">
        <v>0.01</v>
      </c>
      <c r="M667" s="107">
        <f t="shared" si="13"/>
        <v>6.5</v>
      </c>
      <c r="N667" s="76" t="s">
        <v>519</v>
      </c>
      <c r="O667" s="104"/>
    </row>
    <row r="668" s="32" customFormat="1" ht="15" spans="1:15">
      <c r="A668" s="44">
        <v>443</v>
      </c>
      <c r="E668" s="76" t="s">
        <v>129</v>
      </c>
      <c r="F668" s="94" t="s">
        <v>1221</v>
      </c>
      <c r="G668" s="93" t="s">
        <v>1224</v>
      </c>
      <c r="H668" s="94">
        <v>1</v>
      </c>
      <c r="K668" s="95">
        <v>6.5</v>
      </c>
      <c r="L668" s="79">
        <v>0.01</v>
      </c>
      <c r="M668" s="107">
        <f t="shared" si="13"/>
        <v>6.5</v>
      </c>
      <c r="N668" s="76" t="s">
        <v>519</v>
      </c>
      <c r="O668" s="104"/>
    </row>
    <row r="669" s="32" customFormat="1" ht="15" spans="1:15">
      <c r="A669" s="44">
        <v>444</v>
      </c>
      <c r="E669" s="76" t="s">
        <v>129</v>
      </c>
      <c r="F669" s="94" t="s">
        <v>1225</v>
      </c>
      <c r="G669" s="93" t="s">
        <v>1226</v>
      </c>
      <c r="H669" s="94">
        <v>1</v>
      </c>
      <c r="K669" s="95">
        <v>88</v>
      </c>
      <c r="L669" s="79">
        <v>0.01</v>
      </c>
      <c r="M669" s="107">
        <f t="shared" si="13"/>
        <v>88</v>
      </c>
      <c r="N669" s="76" t="s">
        <v>519</v>
      </c>
      <c r="O669" s="104">
        <v>46378</v>
      </c>
    </row>
    <row r="670" s="32" customFormat="1" ht="15" spans="1:15">
      <c r="A670" s="44">
        <v>445</v>
      </c>
      <c r="E670" s="76" t="s">
        <v>129</v>
      </c>
      <c r="F670" s="94" t="s">
        <v>1227</v>
      </c>
      <c r="G670" s="93" t="s">
        <v>1228</v>
      </c>
      <c r="H670" s="94">
        <v>1</v>
      </c>
      <c r="K670" s="95">
        <v>245</v>
      </c>
      <c r="L670" s="79">
        <v>0.01</v>
      </c>
      <c r="M670" s="107">
        <f t="shared" si="13"/>
        <v>245</v>
      </c>
      <c r="N670" s="76" t="s">
        <v>519</v>
      </c>
      <c r="O670" s="104"/>
    </row>
    <row r="671" s="32" customFormat="1" ht="15" spans="1:15">
      <c r="A671" s="44">
        <v>446</v>
      </c>
      <c r="E671" s="76" t="s">
        <v>129</v>
      </c>
      <c r="F671" s="94" t="s">
        <v>1229</v>
      </c>
      <c r="G671" s="93" t="s">
        <v>1230</v>
      </c>
      <c r="H671" s="94">
        <v>4</v>
      </c>
      <c r="K671" s="95">
        <v>6.5</v>
      </c>
      <c r="L671" s="79">
        <v>0.01</v>
      </c>
      <c r="M671" s="107">
        <f t="shared" si="13"/>
        <v>26</v>
      </c>
      <c r="N671" s="76" t="s">
        <v>519</v>
      </c>
      <c r="O671" s="104">
        <v>46379</v>
      </c>
    </row>
    <row r="672" s="32" customFormat="1" ht="15" spans="1:15">
      <c r="A672" s="44">
        <v>447</v>
      </c>
      <c r="E672" s="76" t="s">
        <v>129</v>
      </c>
      <c r="F672" s="94" t="s">
        <v>1231</v>
      </c>
      <c r="G672" s="93" t="s">
        <v>1230</v>
      </c>
      <c r="H672" s="94">
        <v>4</v>
      </c>
      <c r="K672" s="95">
        <v>6</v>
      </c>
      <c r="L672" s="79">
        <v>0.01</v>
      </c>
      <c r="M672" s="107">
        <f t="shared" si="13"/>
        <v>24</v>
      </c>
      <c r="N672" s="76" t="s">
        <v>519</v>
      </c>
      <c r="O672" s="104"/>
    </row>
    <row r="673" s="32" customFormat="1" ht="15" spans="1:15">
      <c r="A673" s="44">
        <v>448</v>
      </c>
      <c r="E673" s="76" t="s">
        <v>129</v>
      </c>
      <c r="F673" s="94" t="s">
        <v>1232</v>
      </c>
      <c r="G673" s="93" t="s">
        <v>1230</v>
      </c>
      <c r="H673" s="94">
        <v>2</v>
      </c>
      <c r="K673" s="95">
        <v>4.5</v>
      </c>
      <c r="L673" s="79">
        <v>0.01</v>
      </c>
      <c r="M673" s="107">
        <f t="shared" si="13"/>
        <v>9</v>
      </c>
      <c r="N673" s="76" t="s">
        <v>519</v>
      </c>
      <c r="O673" s="104"/>
    </row>
    <row r="674" s="32" customFormat="1" ht="15" spans="1:15">
      <c r="A674" s="44">
        <v>449</v>
      </c>
      <c r="E674" s="76" t="s">
        <v>129</v>
      </c>
      <c r="F674" s="94" t="s">
        <v>1233</v>
      </c>
      <c r="G674" s="93" t="s">
        <v>1234</v>
      </c>
      <c r="H674" s="94">
        <v>1</v>
      </c>
      <c r="K674" s="95">
        <v>27</v>
      </c>
      <c r="L674" s="79">
        <v>0.01</v>
      </c>
      <c r="M674" s="107">
        <f t="shared" si="13"/>
        <v>27</v>
      </c>
      <c r="N674" s="76" t="s">
        <v>519</v>
      </c>
      <c r="O674" s="104"/>
    </row>
    <row r="675" s="32" customFormat="1" ht="15" spans="1:15">
      <c r="A675" s="44">
        <v>450</v>
      </c>
      <c r="E675" s="76" t="s">
        <v>129</v>
      </c>
      <c r="F675" s="94" t="s">
        <v>1235</v>
      </c>
      <c r="G675" s="93" t="s">
        <v>1236</v>
      </c>
      <c r="H675" s="94">
        <v>1</v>
      </c>
      <c r="K675" s="95">
        <v>7</v>
      </c>
      <c r="L675" s="79">
        <v>0.01</v>
      </c>
      <c r="M675" s="107">
        <f t="shared" ref="M675:M738" si="14">H675*K675</f>
        <v>7</v>
      </c>
      <c r="N675" s="76" t="s">
        <v>519</v>
      </c>
      <c r="O675" s="104"/>
    </row>
    <row r="676" s="32" customFormat="1" ht="15" spans="1:15">
      <c r="A676" s="44">
        <v>451</v>
      </c>
      <c r="E676" s="76" t="s">
        <v>129</v>
      </c>
      <c r="F676" s="94" t="s">
        <v>1221</v>
      </c>
      <c r="G676" s="93" t="s">
        <v>1237</v>
      </c>
      <c r="H676" s="94">
        <v>1</v>
      </c>
      <c r="K676" s="95">
        <v>12</v>
      </c>
      <c r="L676" s="79">
        <v>0.01</v>
      </c>
      <c r="M676" s="107">
        <f t="shared" si="14"/>
        <v>12</v>
      </c>
      <c r="N676" s="76" t="s">
        <v>519</v>
      </c>
      <c r="O676" s="104"/>
    </row>
    <row r="677" s="32" customFormat="1" ht="15" spans="1:15">
      <c r="A677" s="44">
        <v>452</v>
      </c>
      <c r="E677" s="76" t="s">
        <v>129</v>
      </c>
      <c r="F677" s="94" t="s">
        <v>1238</v>
      </c>
      <c r="G677" s="93" t="s">
        <v>1239</v>
      </c>
      <c r="H677" s="94">
        <v>1</v>
      </c>
      <c r="K677" s="95">
        <v>9</v>
      </c>
      <c r="L677" s="79">
        <v>0.01</v>
      </c>
      <c r="M677" s="107">
        <f t="shared" si="14"/>
        <v>9</v>
      </c>
      <c r="N677" s="76" t="s">
        <v>519</v>
      </c>
      <c r="O677" s="104"/>
    </row>
    <row r="678" s="32" customFormat="1" ht="15" spans="1:15">
      <c r="A678" s="44">
        <v>453</v>
      </c>
      <c r="E678" s="76" t="s">
        <v>129</v>
      </c>
      <c r="F678" s="94" t="s">
        <v>1238</v>
      </c>
      <c r="G678" s="93" t="s">
        <v>1240</v>
      </c>
      <c r="H678" s="94">
        <v>1</v>
      </c>
      <c r="K678" s="95">
        <v>34</v>
      </c>
      <c r="L678" s="79">
        <v>0.01</v>
      </c>
      <c r="M678" s="107">
        <f t="shared" si="14"/>
        <v>34</v>
      </c>
      <c r="N678" s="76" t="s">
        <v>519</v>
      </c>
      <c r="O678" s="104"/>
    </row>
    <row r="679" s="32" customFormat="1" ht="15" spans="1:15">
      <c r="A679" s="44">
        <v>454</v>
      </c>
      <c r="E679" s="76" t="s">
        <v>129</v>
      </c>
      <c r="F679" s="94" t="s">
        <v>1241</v>
      </c>
      <c r="G679" s="93" t="s">
        <v>1242</v>
      </c>
      <c r="H679" s="94">
        <v>1</v>
      </c>
      <c r="K679" s="95">
        <v>40</v>
      </c>
      <c r="L679" s="79">
        <v>0.01</v>
      </c>
      <c r="M679" s="107">
        <f t="shared" si="14"/>
        <v>40</v>
      </c>
      <c r="N679" s="76" t="s">
        <v>519</v>
      </c>
      <c r="O679" s="104"/>
    </row>
    <row r="680" s="32" customFormat="1" ht="15" spans="1:15">
      <c r="A680" s="44">
        <v>455</v>
      </c>
      <c r="E680" s="76" t="s">
        <v>129</v>
      </c>
      <c r="F680" s="94" t="s">
        <v>1243</v>
      </c>
      <c r="G680" s="93"/>
      <c r="H680" s="94">
        <v>5</v>
      </c>
      <c r="K680" s="95">
        <v>17</v>
      </c>
      <c r="L680" s="79">
        <v>0.01</v>
      </c>
      <c r="M680" s="107">
        <f t="shared" si="14"/>
        <v>85</v>
      </c>
      <c r="N680" s="76" t="s">
        <v>519</v>
      </c>
      <c r="O680" s="104">
        <v>46381</v>
      </c>
    </row>
    <row r="681" s="32" customFormat="1" ht="15" spans="1:15">
      <c r="A681" s="44">
        <v>456</v>
      </c>
      <c r="E681" s="76" t="s">
        <v>129</v>
      </c>
      <c r="F681" s="94" t="s">
        <v>1244</v>
      </c>
      <c r="G681" s="93" t="s">
        <v>1245</v>
      </c>
      <c r="H681" s="94">
        <v>1</v>
      </c>
      <c r="K681" s="95">
        <v>21</v>
      </c>
      <c r="L681" s="79">
        <v>0.01</v>
      </c>
      <c r="M681" s="107">
        <f t="shared" si="14"/>
        <v>21</v>
      </c>
      <c r="N681" s="76" t="s">
        <v>519</v>
      </c>
      <c r="O681" s="104"/>
    </row>
    <row r="682" s="32" customFormat="1" ht="15" spans="1:15">
      <c r="A682" s="44">
        <v>457</v>
      </c>
      <c r="E682" s="76" t="s">
        <v>129</v>
      </c>
      <c r="F682" s="94" t="s">
        <v>1246</v>
      </c>
      <c r="G682" s="93" t="s">
        <v>1247</v>
      </c>
      <c r="H682" s="94">
        <v>1</v>
      </c>
      <c r="K682" s="95">
        <v>12</v>
      </c>
      <c r="L682" s="79">
        <v>0.01</v>
      </c>
      <c r="M682" s="107">
        <f t="shared" si="14"/>
        <v>12</v>
      </c>
      <c r="N682" s="76" t="s">
        <v>519</v>
      </c>
      <c r="O682" s="104">
        <v>46382</v>
      </c>
    </row>
    <row r="683" s="32" customFormat="1" ht="15" spans="1:15">
      <c r="A683" s="44">
        <v>458</v>
      </c>
      <c r="E683" s="76" t="s">
        <v>129</v>
      </c>
      <c r="F683" s="94" t="s">
        <v>1248</v>
      </c>
      <c r="G683" s="93" t="s">
        <v>1249</v>
      </c>
      <c r="H683" s="94">
        <v>1</v>
      </c>
      <c r="K683" s="95">
        <v>3</v>
      </c>
      <c r="L683" s="79">
        <v>0.01</v>
      </c>
      <c r="M683" s="107">
        <f t="shared" si="14"/>
        <v>3</v>
      </c>
      <c r="N683" s="76" t="s">
        <v>519</v>
      </c>
      <c r="O683" s="104"/>
    </row>
    <row r="684" s="32" customFormat="1" ht="15" spans="1:15">
      <c r="A684" s="44">
        <v>459</v>
      </c>
      <c r="E684" s="76" t="s">
        <v>129</v>
      </c>
      <c r="F684" s="94" t="s">
        <v>1250</v>
      </c>
      <c r="G684" s="93" t="s">
        <v>1251</v>
      </c>
      <c r="H684" s="94">
        <v>1</v>
      </c>
      <c r="K684" s="95">
        <v>195</v>
      </c>
      <c r="L684" s="79">
        <v>0.01</v>
      </c>
      <c r="M684" s="107">
        <f t="shared" si="14"/>
        <v>195</v>
      </c>
      <c r="N684" s="76" t="s">
        <v>519</v>
      </c>
      <c r="O684" s="104"/>
    </row>
    <row r="685" s="32" customFormat="1" ht="15" spans="1:15">
      <c r="A685" s="44">
        <v>460</v>
      </c>
      <c r="E685" s="76" t="s">
        <v>129</v>
      </c>
      <c r="F685" s="94" t="s">
        <v>758</v>
      </c>
      <c r="G685" s="93" t="s">
        <v>1252</v>
      </c>
      <c r="H685" s="94">
        <v>2</v>
      </c>
      <c r="K685" s="95">
        <v>74</v>
      </c>
      <c r="L685" s="79">
        <v>0.01</v>
      </c>
      <c r="M685" s="107">
        <f t="shared" si="14"/>
        <v>148</v>
      </c>
      <c r="N685" s="76" t="s">
        <v>519</v>
      </c>
      <c r="O685" s="104"/>
    </row>
    <row r="686" s="32" customFormat="1" ht="15" spans="1:15">
      <c r="A686" s="44">
        <v>461</v>
      </c>
      <c r="E686" s="76" t="s">
        <v>129</v>
      </c>
      <c r="F686" s="94" t="s">
        <v>1253</v>
      </c>
      <c r="G686" s="93" t="s">
        <v>1228</v>
      </c>
      <c r="H686" s="94">
        <v>1</v>
      </c>
      <c r="K686" s="95">
        <v>110</v>
      </c>
      <c r="L686" s="79">
        <v>0.01</v>
      </c>
      <c r="M686" s="107">
        <f t="shared" si="14"/>
        <v>110</v>
      </c>
      <c r="N686" s="76" t="s">
        <v>519</v>
      </c>
      <c r="O686" s="104"/>
    </row>
    <row r="687" s="32" customFormat="1" ht="15" spans="1:15">
      <c r="A687" s="44">
        <v>462</v>
      </c>
      <c r="E687" s="76" t="s">
        <v>129</v>
      </c>
      <c r="F687" s="94" t="s">
        <v>1254</v>
      </c>
      <c r="G687" s="93" t="s">
        <v>1255</v>
      </c>
      <c r="H687" s="94">
        <v>1</v>
      </c>
      <c r="K687" s="95">
        <v>11</v>
      </c>
      <c r="L687" s="79">
        <v>0.01</v>
      </c>
      <c r="M687" s="107">
        <f t="shared" si="14"/>
        <v>11</v>
      </c>
      <c r="N687" s="76" t="s">
        <v>519</v>
      </c>
      <c r="O687" s="104"/>
    </row>
    <row r="688" s="32" customFormat="1" ht="15" spans="1:15">
      <c r="A688" s="44">
        <v>463</v>
      </c>
      <c r="E688" s="76" t="s">
        <v>129</v>
      </c>
      <c r="F688" s="94" t="s">
        <v>1256</v>
      </c>
      <c r="G688" s="93" t="s">
        <v>757</v>
      </c>
      <c r="H688" s="94">
        <v>1</v>
      </c>
      <c r="K688" s="95">
        <v>138</v>
      </c>
      <c r="L688" s="79">
        <v>0.01</v>
      </c>
      <c r="M688" s="107">
        <f t="shared" si="14"/>
        <v>138</v>
      </c>
      <c r="N688" s="76" t="s">
        <v>519</v>
      </c>
      <c r="O688" s="104">
        <v>46386</v>
      </c>
    </row>
    <row r="689" s="32" customFormat="1" ht="15" spans="1:15">
      <c r="A689" s="44">
        <v>464</v>
      </c>
      <c r="E689" s="76" t="s">
        <v>129</v>
      </c>
      <c r="F689" s="94" t="s">
        <v>1257</v>
      </c>
      <c r="G689" s="93" t="s">
        <v>1258</v>
      </c>
      <c r="H689" s="94">
        <v>1</v>
      </c>
      <c r="K689" s="95">
        <v>46</v>
      </c>
      <c r="L689" s="79">
        <v>0.01</v>
      </c>
      <c r="M689" s="107">
        <f t="shared" si="14"/>
        <v>46</v>
      </c>
      <c r="N689" s="76" t="s">
        <v>519</v>
      </c>
      <c r="O689" s="104"/>
    </row>
    <row r="690" s="32" customFormat="1" ht="15" spans="1:15">
      <c r="A690" s="44">
        <v>465</v>
      </c>
      <c r="E690" s="76" t="s">
        <v>129</v>
      </c>
      <c r="F690" s="94" t="s">
        <v>680</v>
      </c>
      <c r="G690" s="93" t="s">
        <v>1259</v>
      </c>
      <c r="H690" s="94">
        <v>50</v>
      </c>
      <c r="K690" s="95">
        <v>1.4</v>
      </c>
      <c r="L690" s="79">
        <v>0.01</v>
      </c>
      <c r="M690" s="107">
        <f t="shared" si="14"/>
        <v>70</v>
      </c>
      <c r="N690" s="76" t="s">
        <v>519</v>
      </c>
      <c r="O690" s="104"/>
    </row>
    <row r="691" s="32" customFormat="1" ht="15" spans="1:15">
      <c r="A691" s="44">
        <v>466</v>
      </c>
      <c r="E691" s="76" t="s">
        <v>129</v>
      </c>
      <c r="F691" s="94" t="s">
        <v>1260</v>
      </c>
      <c r="G691" s="93" t="s">
        <v>1261</v>
      </c>
      <c r="H691" s="94">
        <v>2</v>
      </c>
      <c r="K691" s="95">
        <v>48.5</v>
      </c>
      <c r="L691" s="79">
        <v>0.01</v>
      </c>
      <c r="M691" s="107">
        <f t="shared" si="14"/>
        <v>97</v>
      </c>
      <c r="N691" s="76" t="s">
        <v>519</v>
      </c>
      <c r="O691" s="104"/>
    </row>
    <row r="692" s="32" customFormat="1" ht="15" spans="1:15">
      <c r="A692" s="44">
        <v>467</v>
      </c>
      <c r="E692" s="76" t="s">
        <v>129</v>
      </c>
      <c r="F692" s="94" t="s">
        <v>1262</v>
      </c>
      <c r="G692" s="93" t="s">
        <v>1263</v>
      </c>
      <c r="H692" s="94">
        <v>1</v>
      </c>
      <c r="K692" s="95">
        <v>125</v>
      </c>
      <c r="L692" s="79">
        <v>0.01</v>
      </c>
      <c r="M692" s="107">
        <f t="shared" si="14"/>
        <v>125</v>
      </c>
      <c r="N692" s="76" t="s">
        <v>519</v>
      </c>
      <c r="O692" s="104"/>
    </row>
    <row r="693" s="32" customFormat="1" ht="15" spans="1:15">
      <c r="A693" s="44">
        <v>468</v>
      </c>
      <c r="E693" s="76" t="s">
        <v>129</v>
      </c>
      <c r="F693" s="94" t="s">
        <v>1264</v>
      </c>
      <c r="G693" s="93" t="s">
        <v>1265</v>
      </c>
      <c r="H693" s="94">
        <v>4</v>
      </c>
      <c r="K693" s="95">
        <v>9.5</v>
      </c>
      <c r="L693" s="79">
        <v>0.01</v>
      </c>
      <c r="M693" s="107">
        <f t="shared" si="14"/>
        <v>38</v>
      </c>
      <c r="N693" s="76" t="s">
        <v>519</v>
      </c>
      <c r="O693" s="104"/>
    </row>
    <row r="694" s="32" customFormat="1" ht="15" spans="1:15">
      <c r="A694" s="44">
        <v>469</v>
      </c>
      <c r="E694" s="76" t="s">
        <v>129</v>
      </c>
      <c r="F694" s="94" t="s">
        <v>1266</v>
      </c>
      <c r="G694" s="93" t="s">
        <v>1267</v>
      </c>
      <c r="H694" s="94">
        <v>1</v>
      </c>
      <c r="K694" s="95">
        <v>2450</v>
      </c>
      <c r="L694" s="79">
        <v>0.01</v>
      </c>
      <c r="M694" s="107">
        <f t="shared" si="14"/>
        <v>2450</v>
      </c>
      <c r="N694" s="76" t="s">
        <v>519</v>
      </c>
      <c r="O694" s="104"/>
    </row>
    <row r="695" s="32" customFormat="1" ht="15" spans="1:15">
      <c r="A695" s="44">
        <v>470</v>
      </c>
      <c r="E695" s="76" t="s">
        <v>129</v>
      </c>
      <c r="F695" s="94" t="s">
        <v>1268</v>
      </c>
      <c r="G695" s="93" t="s">
        <v>1269</v>
      </c>
      <c r="H695" s="94">
        <v>1</v>
      </c>
      <c r="K695" s="95">
        <v>3500</v>
      </c>
      <c r="L695" s="79">
        <v>0.01</v>
      </c>
      <c r="M695" s="107">
        <f t="shared" si="14"/>
        <v>3500</v>
      </c>
      <c r="N695" s="76" t="s">
        <v>519</v>
      </c>
      <c r="O695" s="104"/>
    </row>
    <row r="696" s="32" customFormat="1" ht="15" spans="1:15">
      <c r="A696" s="44">
        <v>471</v>
      </c>
      <c r="E696" s="76" t="s">
        <v>129</v>
      </c>
      <c r="F696" s="94" t="s">
        <v>1270</v>
      </c>
      <c r="G696" s="93" t="s">
        <v>1271</v>
      </c>
      <c r="H696" s="94">
        <v>1</v>
      </c>
      <c r="K696" s="95">
        <v>385</v>
      </c>
      <c r="L696" s="79">
        <v>0.01</v>
      </c>
      <c r="M696" s="107">
        <f t="shared" si="14"/>
        <v>385</v>
      </c>
      <c r="N696" s="76" t="s">
        <v>519</v>
      </c>
      <c r="O696" s="104"/>
    </row>
    <row r="697" s="32" customFormat="1" ht="14" spans="1:15">
      <c r="A697" s="44">
        <v>472</v>
      </c>
      <c r="E697" s="76" t="s">
        <v>129</v>
      </c>
      <c r="F697" s="108" t="s">
        <v>521</v>
      </c>
      <c r="G697" s="109" t="s">
        <v>1272</v>
      </c>
      <c r="H697" s="108">
        <v>1</v>
      </c>
      <c r="K697" s="110">
        <v>12720</v>
      </c>
      <c r="L697" s="79">
        <v>0.01</v>
      </c>
      <c r="M697" s="107">
        <f t="shared" si="14"/>
        <v>12720</v>
      </c>
      <c r="N697" s="76" t="s">
        <v>519</v>
      </c>
      <c r="O697" s="101">
        <v>46026</v>
      </c>
    </row>
    <row r="698" s="32" customFormat="1" ht="14" spans="1:15">
      <c r="A698" s="44">
        <v>473</v>
      </c>
      <c r="E698" s="76" t="s">
        <v>129</v>
      </c>
      <c r="F698" s="108" t="s">
        <v>1273</v>
      </c>
      <c r="G698" s="109" t="s">
        <v>1251</v>
      </c>
      <c r="H698" s="108">
        <v>1</v>
      </c>
      <c r="K698" s="110">
        <v>195</v>
      </c>
      <c r="L698" s="79">
        <v>0.01</v>
      </c>
      <c r="M698" s="107">
        <f t="shared" si="14"/>
        <v>195</v>
      </c>
      <c r="N698" s="76" t="s">
        <v>519</v>
      </c>
      <c r="O698" s="102"/>
    </row>
    <row r="699" s="32" customFormat="1" ht="14" spans="1:15">
      <c r="A699" s="44">
        <v>474</v>
      </c>
      <c r="E699" s="76" t="s">
        <v>129</v>
      </c>
      <c r="F699" s="108" t="s">
        <v>1274</v>
      </c>
      <c r="G699" s="109" t="s">
        <v>1275</v>
      </c>
      <c r="H699" s="108">
        <v>1</v>
      </c>
      <c r="K699" s="110">
        <v>13</v>
      </c>
      <c r="L699" s="79">
        <v>0.01</v>
      </c>
      <c r="M699" s="107">
        <f t="shared" si="14"/>
        <v>13</v>
      </c>
      <c r="N699" s="76" t="s">
        <v>519</v>
      </c>
      <c r="O699" s="102"/>
    </row>
    <row r="700" s="32" customFormat="1" ht="14" spans="1:15">
      <c r="A700" s="44">
        <v>475</v>
      </c>
      <c r="E700" s="76" t="s">
        <v>129</v>
      </c>
      <c r="F700" s="108" t="s">
        <v>847</v>
      </c>
      <c r="G700" s="109" t="s">
        <v>1276</v>
      </c>
      <c r="H700" s="108">
        <v>1</v>
      </c>
      <c r="K700" s="110">
        <v>10</v>
      </c>
      <c r="L700" s="79">
        <v>0.01</v>
      </c>
      <c r="M700" s="107">
        <f t="shared" si="14"/>
        <v>10</v>
      </c>
      <c r="N700" s="76" t="s">
        <v>519</v>
      </c>
      <c r="O700" s="102"/>
    </row>
    <row r="701" s="32" customFormat="1" ht="14" spans="1:15">
      <c r="A701" s="44">
        <v>476</v>
      </c>
      <c r="E701" s="76" t="s">
        <v>129</v>
      </c>
      <c r="F701" s="108" t="s">
        <v>1277</v>
      </c>
      <c r="G701" s="109" t="s">
        <v>1278</v>
      </c>
      <c r="H701" s="108">
        <v>2</v>
      </c>
      <c r="K701" s="110">
        <v>15</v>
      </c>
      <c r="L701" s="79">
        <v>0.01</v>
      </c>
      <c r="M701" s="107">
        <f t="shared" si="14"/>
        <v>30</v>
      </c>
      <c r="N701" s="76" t="s">
        <v>519</v>
      </c>
      <c r="O701" s="102"/>
    </row>
    <row r="702" s="32" customFormat="1" ht="14" spans="1:15">
      <c r="A702" s="44">
        <v>477</v>
      </c>
      <c r="E702" s="76" t="s">
        <v>129</v>
      </c>
      <c r="F702" s="108" t="s">
        <v>1279</v>
      </c>
      <c r="G702" s="109" t="s">
        <v>1280</v>
      </c>
      <c r="H702" s="108">
        <v>1</v>
      </c>
      <c r="K702" s="110">
        <v>45</v>
      </c>
      <c r="L702" s="79">
        <v>0.01</v>
      </c>
      <c r="M702" s="107">
        <f t="shared" si="14"/>
        <v>45</v>
      </c>
      <c r="N702" s="76" t="s">
        <v>519</v>
      </c>
      <c r="O702" s="102"/>
    </row>
    <row r="703" s="32" customFormat="1" ht="14" spans="1:15">
      <c r="A703" s="44">
        <v>478</v>
      </c>
      <c r="E703" s="76" t="s">
        <v>129</v>
      </c>
      <c r="F703" s="108" t="s">
        <v>1281</v>
      </c>
      <c r="G703" s="109" t="s">
        <v>1282</v>
      </c>
      <c r="H703" s="108">
        <v>2</v>
      </c>
      <c r="K703" s="110">
        <v>16</v>
      </c>
      <c r="L703" s="79">
        <v>0.01</v>
      </c>
      <c r="M703" s="107">
        <f t="shared" si="14"/>
        <v>32</v>
      </c>
      <c r="N703" s="76" t="s">
        <v>519</v>
      </c>
      <c r="O703" s="102"/>
    </row>
    <row r="704" s="32" customFormat="1" ht="14" spans="1:15">
      <c r="A704" s="44">
        <v>479</v>
      </c>
      <c r="E704" s="76" t="s">
        <v>129</v>
      </c>
      <c r="F704" s="108" t="s">
        <v>1283</v>
      </c>
      <c r="G704" s="109" t="s">
        <v>892</v>
      </c>
      <c r="H704" s="108">
        <v>10</v>
      </c>
      <c r="K704" s="110">
        <v>16.8</v>
      </c>
      <c r="L704" s="79">
        <v>0.01</v>
      </c>
      <c r="M704" s="107">
        <f t="shared" si="14"/>
        <v>168</v>
      </c>
      <c r="N704" s="76" t="s">
        <v>519</v>
      </c>
      <c r="O704" s="103"/>
    </row>
    <row r="705" s="32" customFormat="1" ht="14" spans="1:15">
      <c r="A705" s="44">
        <v>480</v>
      </c>
      <c r="E705" s="76" t="s">
        <v>129</v>
      </c>
      <c r="F705" s="108" t="s">
        <v>1284</v>
      </c>
      <c r="G705" s="109" t="s">
        <v>1285</v>
      </c>
      <c r="H705" s="108">
        <v>2</v>
      </c>
      <c r="K705" s="110">
        <v>17</v>
      </c>
      <c r="L705" s="79">
        <v>0.01</v>
      </c>
      <c r="M705" s="107">
        <f t="shared" si="14"/>
        <v>34</v>
      </c>
      <c r="N705" s="76" t="s">
        <v>519</v>
      </c>
      <c r="O705" s="104">
        <v>46027</v>
      </c>
    </row>
    <row r="706" s="32" customFormat="1" ht="14" spans="1:15">
      <c r="A706" s="44">
        <v>481</v>
      </c>
      <c r="E706" s="76" t="s">
        <v>129</v>
      </c>
      <c r="F706" s="108" t="s">
        <v>1286</v>
      </c>
      <c r="G706" s="109" t="s">
        <v>1287</v>
      </c>
      <c r="H706" s="108">
        <v>1</v>
      </c>
      <c r="K706" s="110">
        <v>450</v>
      </c>
      <c r="L706" s="79">
        <v>0.01</v>
      </c>
      <c r="M706" s="107">
        <f t="shared" si="14"/>
        <v>450</v>
      </c>
      <c r="N706" s="76" t="s">
        <v>519</v>
      </c>
      <c r="O706" s="101">
        <v>46028</v>
      </c>
    </row>
    <row r="707" s="32" customFormat="1" ht="14" spans="1:15">
      <c r="A707" s="44">
        <v>482</v>
      </c>
      <c r="E707" s="76" t="s">
        <v>129</v>
      </c>
      <c r="F707" s="108" t="s">
        <v>623</v>
      </c>
      <c r="G707" s="109" t="s">
        <v>1288</v>
      </c>
      <c r="H707" s="108">
        <v>2</v>
      </c>
      <c r="K707" s="110">
        <v>48</v>
      </c>
      <c r="L707" s="79">
        <v>0.01</v>
      </c>
      <c r="M707" s="107">
        <f t="shared" si="14"/>
        <v>96</v>
      </c>
      <c r="N707" s="76" t="s">
        <v>519</v>
      </c>
      <c r="O707" s="102"/>
    </row>
    <row r="708" s="32" customFormat="1" ht="14" spans="1:15">
      <c r="A708" s="44">
        <v>483</v>
      </c>
      <c r="E708" s="76" t="s">
        <v>129</v>
      </c>
      <c r="F708" s="108" t="s">
        <v>623</v>
      </c>
      <c r="G708" s="109" t="s">
        <v>1289</v>
      </c>
      <c r="H708" s="108">
        <v>2</v>
      </c>
      <c r="K708" s="110">
        <v>25</v>
      </c>
      <c r="L708" s="79">
        <v>0.01</v>
      </c>
      <c r="M708" s="107">
        <f t="shared" si="14"/>
        <v>50</v>
      </c>
      <c r="N708" s="76" t="s">
        <v>519</v>
      </c>
      <c r="O708" s="102"/>
    </row>
    <row r="709" s="32" customFormat="1" ht="14" spans="1:15">
      <c r="A709" s="44">
        <v>484</v>
      </c>
      <c r="E709" s="76" t="s">
        <v>129</v>
      </c>
      <c r="F709" s="108" t="s">
        <v>623</v>
      </c>
      <c r="G709" s="109" t="s">
        <v>1290</v>
      </c>
      <c r="H709" s="108">
        <v>2</v>
      </c>
      <c r="K709" s="110">
        <v>16</v>
      </c>
      <c r="L709" s="79">
        <v>0.01</v>
      </c>
      <c r="M709" s="107">
        <f t="shared" si="14"/>
        <v>32</v>
      </c>
      <c r="N709" s="76" t="s">
        <v>519</v>
      </c>
      <c r="O709" s="103"/>
    </row>
    <row r="710" s="32" customFormat="1" ht="14" spans="1:15">
      <c r="A710" s="44">
        <v>485</v>
      </c>
      <c r="E710" s="76" t="s">
        <v>129</v>
      </c>
      <c r="F710" s="108" t="s">
        <v>1291</v>
      </c>
      <c r="G710" s="109" t="s">
        <v>1292</v>
      </c>
      <c r="H710" s="108">
        <v>1</v>
      </c>
      <c r="K710" s="110">
        <v>65</v>
      </c>
      <c r="L710" s="79">
        <v>0.01</v>
      </c>
      <c r="M710" s="107">
        <f t="shared" si="14"/>
        <v>65</v>
      </c>
      <c r="N710" s="76" t="s">
        <v>519</v>
      </c>
      <c r="O710" s="101">
        <v>46029</v>
      </c>
    </row>
    <row r="711" s="32" customFormat="1" ht="14" spans="1:15">
      <c r="A711" s="44">
        <v>486</v>
      </c>
      <c r="E711" s="76" t="s">
        <v>129</v>
      </c>
      <c r="F711" s="108" t="s">
        <v>1293</v>
      </c>
      <c r="G711" s="109" t="s">
        <v>1294</v>
      </c>
      <c r="H711" s="108">
        <v>2</v>
      </c>
      <c r="K711" s="110">
        <v>37</v>
      </c>
      <c r="L711" s="79">
        <v>0.01</v>
      </c>
      <c r="M711" s="107">
        <f t="shared" si="14"/>
        <v>74</v>
      </c>
      <c r="N711" s="76" t="s">
        <v>519</v>
      </c>
      <c r="O711" s="102"/>
    </row>
    <row r="712" s="32" customFormat="1" ht="13.5" customHeight="1" spans="1:15">
      <c r="A712" s="44">
        <v>487</v>
      </c>
      <c r="E712" s="76" t="s">
        <v>129</v>
      </c>
      <c r="F712" s="108" t="s">
        <v>1295</v>
      </c>
      <c r="G712" s="109" t="s">
        <v>1296</v>
      </c>
      <c r="H712" s="108">
        <v>1</v>
      </c>
      <c r="K712" s="110">
        <v>96</v>
      </c>
      <c r="L712" s="79">
        <v>0.01</v>
      </c>
      <c r="M712" s="107">
        <f t="shared" si="14"/>
        <v>96</v>
      </c>
      <c r="N712" s="76" t="s">
        <v>519</v>
      </c>
      <c r="O712" s="102"/>
    </row>
    <row r="713" s="32" customFormat="1" ht="14" spans="1:15">
      <c r="A713" s="44">
        <v>488</v>
      </c>
      <c r="E713" s="76" t="s">
        <v>129</v>
      </c>
      <c r="F713" s="108" t="s">
        <v>1297</v>
      </c>
      <c r="G713" s="109" t="s">
        <v>1298</v>
      </c>
      <c r="H713" s="108">
        <v>2</v>
      </c>
      <c r="K713" s="110">
        <v>29</v>
      </c>
      <c r="L713" s="79">
        <v>0.01</v>
      </c>
      <c r="M713" s="107">
        <f t="shared" si="14"/>
        <v>58</v>
      </c>
      <c r="N713" s="76" t="s">
        <v>519</v>
      </c>
      <c r="O713" s="102"/>
    </row>
    <row r="714" s="32" customFormat="1" ht="14" spans="1:15">
      <c r="A714" s="44">
        <v>489</v>
      </c>
      <c r="E714" s="76" t="s">
        <v>129</v>
      </c>
      <c r="F714" s="108" t="s">
        <v>1299</v>
      </c>
      <c r="G714" s="109" t="s">
        <v>1300</v>
      </c>
      <c r="H714" s="108">
        <v>1</v>
      </c>
      <c r="K714" s="110">
        <v>220</v>
      </c>
      <c r="L714" s="79">
        <v>0.01</v>
      </c>
      <c r="M714" s="107">
        <f t="shared" si="14"/>
        <v>220</v>
      </c>
      <c r="N714" s="76" t="s">
        <v>519</v>
      </c>
      <c r="O714" s="102"/>
    </row>
    <row r="715" s="32" customFormat="1" ht="14" spans="1:15">
      <c r="A715" s="44">
        <v>490</v>
      </c>
      <c r="E715" s="76" t="s">
        <v>129</v>
      </c>
      <c r="F715" s="108" t="s">
        <v>1301</v>
      </c>
      <c r="G715" s="109"/>
      <c r="H715" s="108">
        <v>1</v>
      </c>
      <c r="K715" s="110">
        <v>55</v>
      </c>
      <c r="L715" s="79">
        <v>0.01</v>
      </c>
      <c r="M715" s="107">
        <f t="shared" si="14"/>
        <v>55</v>
      </c>
      <c r="N715" s="76" t="s">
        <v>519</v>
      </c>
      <c r="O715" s="102"/>
    </row>
    <row r="716" s="32" customFormat="1" ht="14" spans="1:15">
      <c r="A716" s="44">
        <v>491</v>
      </c>
      <c r="E716" s="76" t="s">
        <v>129</v>
      </c>
      <c r="F716" s="108" t="s">
        <v>1302</v>
      </c>
      <c r="G716" s="109" t="s">
        <v>1303</v>
      </c>
      <c r="H716" s="108">
        <v>1</v>
      </c>
      <c r="K716" s="110">
        <v>220</v>
      </c>
      <c r="L716" s="79">
        <v>0.01</v>
      </c>
      <c r="M716" s="107">
        <f t="shared" si="14"/>
        <v>220</v>
      </c>
      <c r="N716" s="76" t="s">
        <v>519</v>
      </c>
      <c r="O716" s="103"/>
    </row>
    <row r="717" s="32" customFormat="1" ht="14" spans="1:15">
      <c r="A717" s="44">
        <v>492</v>
      </c>
      <c r="E717" s="76" t="s">
        <v>129</v>
      </c>
      <c r="F717" s="108" t="s">
        <v>1304</v>
      </c>
      <c r="G717" s="109" t="s">
        <v>1305</v>
      </c>
      <c r="H717" s="108">
        <v>1</v>
      </c>
      <c r="K717" s="110">
        <v>72</v>
      </c>
      <c r="L717" s="79">
        <v>0.01</v>
      </c>
      <c r="M717" s="107">
        <f t="shared" si="14"/>
        <v>72</v>
      </c>
      <c r="N717" s="76" t="s">
        <v>519</v>
      </c>
      <c r="O717" s="101">
        <v>46031</v>
      </c>
    </row>
    <row r="718" s="32" customFormat="1" ht="14" spans="1:15">
      <c r="A718" s="44">
        <v>493</v>
      </c>
      <c r="E718" s="76" t="s">
        <v>129</v>
      </c>
      <c r="F718" s="108" t="s">
        <v>1306</v>
      </c>
      <c r="G718" s="109" t="s">
        <v>1307</v>
      </c>
      <c r="H718" s="108">
        <v>30</v>
      </c>
      <c r="K718" s="110">
        <v>13.2</v>
      </c>
      <c r="L718" s="79">
        <v>0.01</v>
      </c>
      <c r="M718" s="107">
        <f t="shared" si="14"/>
        <v>396</v>
      </c>
      <c r="N718" s="76" t="s">
        <v>519</v>
      </c>
      <c r="O718" s="102"/>
    </row>
    <row r="719" s="32" customFormat="1" ht="14" spans="1:15">
      <c r="A719" s="44">
        <v>494</v>
      </c>
      <c r="E719" s="76" t="s">
        <v>129</v>
      </c>
      <c r="F719" s="108" t="s">
        <v>1308</v>
      </c>
      <c r="G719" s="109" t="s">
        <v>1167</v>
      </c>
      <c r="H719" s="108">
        <v>5</v>
      </c>
      <c r="K719" s="110">
        <v>4.5</v>
      </c>
      <c r="L719" s="79">
        <v>0.01</v>
      </c>
      <c r="M719" s="107">
        <f t="shared" si="14"/>
        <v>22.5</v>
      </c>
      <c r="N719" s="76" t="s">
        <v>519</v>
      </c>
      <c r="O719" s="102"/>
    </row>
    <row r="720" s="32" customFormat="1" ht="14" spans="1:15">
      <c r="A720" s="44">
        <v>495</v>
      </c>
      <c r="E720" s="76" t="s">
        <v>129</v>
      </c>
      <c r="F720" s="108" t="s">
        <v>1308</v>
      </c>
      <c r="G720" s="109" t="s">
        <v>1163</v>
      </c>
      <c r="H720" s="108">
        <v>5</v>
      </c>
      <c r="K720" s="110">
        <v>5.2</v>
      </c>
      <c r="L720" s="79">
        <v>0.01</v>
      </c>
      <c r="M720" s="107">
        <f t="shared" si="14"/>
        <v>26</v>
      </c>
      <c r="N720" s="76" t="s">
        <v>519</v>
      </c>
      <c r="O720" s="102"/>
    </row>
    <row r="721" s="32" customFormat="1" ht="14" spans="1:15">
      <c r="A721" s="44">
        <v>496</v>
      </c>
      <c r="E721" s="76" t="s">
        <v>129</v>
      </c>
      <c r="F721" s="108" t="s">
        <v>1308</v>
      </c>
      <c r="G721" s="109" t="s">
        <v>1309</v>
      </c>
      <c r="H721" s="108">
        <v>5</v>
      </c>
      <c r="K721" s="110">
        <v>7.5</v>
      </c>
      <c r="L721" s="79">
        <v>0.01</v>
      </c>
      <c r="M721" s="107">
        <f t="shared" si="14"/>
        <v>37.5</v>
      </c>
      <c r="N721" s="76" t="s">
        <v>519</v>
      </c>
      <c r="O721" s="103"/>
    </row>
    <row r="722" s="32" customFormat="1" ht="14" spans="1:15">
      <c r="A722" s="44">
        <v>497</v>
      </c>
      <c r="E722" s="76" t="s">
        <v>129</v>
      </c>
      <c r="F722" s="108" t="s">
        <v>1310</v>
      </c>
      <c r="G722" s="109" t="s">
        <v>1311</v>
      </c>
      <c r="H722" s="108">
        <v>50</v>
      </c>
      <c r="K722" s="110">
        <v>0.8</v>
      </c>
      <c r="L722" s="79">
        <v>0.01</v>
      </c>
      <c r="M722" s="107">
        <f t="shared" si="14"/>
        <v>40</v>
      </c>
      <c r="N722" s="76" t="s">
        <v>519</v>
      </c>
      <c r="O722" s="101">
        <v>46035</v>
      </c>
    </row>
    <row r="723" s="32" customFormat="1" ht="14" spans="1:15">
      <c r="A723" s="44">
        <v>498</v>
      </c>
      <c r="E723" s="76" t="s">
        <v>129</v>
      </c>
      <c r="F723" s="108" t="s">
        <v>1312</v>
      </c>
      <c r="G723" s="109" t="s">
        <v>1313</v>
      </c>
      <c r="H723" s="108">
        <v>5</v>
      </c>
      <c r="K723" s="110">
        <v>33</v>
      </c>
      <c r="L723" s="79">
        <v>0.01</v>
      </c>
      <c r="M723" s="107">
        <f t="shared" si="14"/>
        <v>165</v>
      </c>
      <c r="N723" s="76" t="s">
        <v>519</v>
      </c>
      <c r="O723" s="102"/>
    </row>
    <row r="724" s="32" customFormat="1" ht="14" spans="1:15">
      <c r="A724" s="44">
        <v>499</v>
      </c>
      <c r="E724" s="76" t="s">
        <v>129</v>
      </c>
      <c r="F724" s="108" t="s">
        <v>1314</v>
      </c>
      <c r="G724" s="109" t="s">
        <v>1315</v>
      </c>
      <c r="H724" s="108">
        <v>2</v>
      </c>
      <c r="K724" s="110">
        <v>48</v>
      </c>
      <c r="L724" s="79">
        <v>0.01</v>
      </c>
      <c r="M724" s="107">
        <f t="shared" si="14"/>
        <v>96</v>
      </c>
      <c r="N724" s="76" t="s">
        <v>519</v>
      </c>
      <c r="O724" s="102"/>
    </row>
    <row r="725" s="32" customFormat="1" ht="14" spans="1:15">
      <c r="A725" s="44">
        <v>500</v>
      </c>
      <c r="E725" s="76" t="s">
        <v>129</v>
      </c>
      <c r="F725" s="108" t="s">
        <v>1316</v>
      </c>
      <c r="G725" s="109" t="s">
        <v>1317</v>
      </c>
      <c r="H725" s="108">
        <v>5</v>
      </c>
      <c r="K725" s="110">
        <v>1</v>
      </c>
      <c r="L725" s="79">
        <v>0.01</v>
      </c>
      <c r="M725" s="107">
        <f t="shared" si="14"/>
        <v>5</v>
      </c>
      <c r="N725" s="76" t="s">
        <v>519</v>
      </c>
      <c r="O725" s="102"/>
    </row>
    <row r="726" s="32" customFormat="1" ht="14" spans="1:15">
      <c r="A726" s="44">
        <v>501</v>
      </c>
      <c r="E726" s="76" t="s">
        <v>129</v>
      </c>
      <c r="F726" s="108" t="s">
        <v>1318</v>
      </c>
      <c r="G726" s="109" t="s">
        <v>1319</v>
      </c>
      <c r="H726" s="108">
        <v>5</v>
      </c>
      <c r="K726" s="110">
        <v>1</v>
      </c>
      <c r="L726" s="79">
        <v>0.01</v>
      </c>
      <c r="M726" s="107">
        <f t="shared" si="14"/>
        <v>5</v>
      </c>
      <c r="N726" s="76" t="s">
        <v>519</v>
      </c>
      <c r="O726" s="102"/>
    </row>
    <row r="727" s="32" customFormat="1" ht="14" spans="1:15">
      <c r="A727" s="44">
        <v>502</v>
      </c>
      <c r="E727" s="76" t="s">
        <v>129</v>
      </c>
      <c r="F727" s="108" t="s">
        <v>1135</v>
      </c>
      <c r="G727" s="109" t="s">
        <v>1320</v>
      </c>
      <c r="H727" s="108">
        <v>35</v>
      </c>
      <c r="K727" s="110">
        <v>0.6</v>
      </c>
      <c r="L727" s="79">
        <v>0.01</v>
      </c>
      <c r="M727" s="107">
        <f t="shared" si="14"/>
        <v>21</v>
      </c>
      <c r="N727" s="76" t="s">
        <v>519</v>
      </c>
      <c r="O727" s="102"/>
    </row>
    <row r="728" s="32" customFormat="1" ht="14" spans="1:15">
      <c r="A728" s="44">
        <v>503</v>
      </c>
      <c r="E728" s="76" t="s">
        <v>129</v>
      </c>
      <c r="F728" s="108" t="s">
        <v>1321</v>
      </c>
      <c r="G728" s="109" t="s">
        <v>1322</v>
      </c>
      <c r="H728" s="108">
        <v>1</v>
      </c>
      <c r="K728" s="110">
        <v>55</v>
      </c>
      <c r="L728" s="79">
        <v>0.01</v>
      </c>
      <c r="M728" s="107">
        <f t="shared" si="14"/>
        <v>55</v>
      </c>
      <c r="N728" s="76" t="s">
        <v>519</v>
      </c>
      <c r="O728" s="102"/>
    </row>
    <row r="729" s="32" customFormat="1" ht="14" spans="1:15">
      <c r="A729" s="44">
        <v>504</v>
      </c>
      <c r="E729" s="76" t="s">
        <v>129</v>
      </c>
      <c r="F729" s="108" t="s">
        <v>1323</v>
      </c>
      <c r="G729" s="109" t="s">
        <v>1324</v>
      </c>
      <c r="H729" s="108">
        <v>1</v>
      </c>
      <c r="K729" s="110">
        <v>459</v>
      </c>
      <c r="L729" s="79">
        <v>0.01</v>
      </c>
      <c r="M729" s="107">
        <f t="shared" si="14"/>
        <v>459</v>
      </c>
      <c r="N729" s="76" t="s">
        <v>519</v>
      </c>
      <c r="O729" s="103"/>
    </row>
    <row r="730" s="32" customFormat="1" ht="14" spans="1:15">
      <c r="A730" s="44">
        <v>505</v>
      </c>
      <c r="E730" s="76" t="s">
        <v>129</v>
      </c>
      <c r="F730" s="108" t="s">
        <v>1325</v>
      </c>
      <c r="G730" s="109" t="s">
        <v>1326</v>
      </c>
      <c r="H730" s="108">
        <v>20</v>
      </c>
      <c r="K730" s="110">
        <v>7.3</v>
      </c>
      <c r="L730" s="79">
        <v>0.01</v>
      </c>
      <c r="M730" s="107">
        <f t="shared" si="14"/>
        <v>146</v>
      </c>
      <c r="N730" s="76" t="s">
        <v>519</v>
      </c>
      <c r="O730" s="101">
        <v>46037</v>
      </c>
    </row>
    <row r="731" s="32" customFormat="1" ht="14" spans="1:15">
      <c r="A731" s="44">
        <v>506</v>
      </c>
      <c r="E731" s="76" t="s">
        <v>129</v>
      </c>
      <c r="F731" s="108" t="s">
        <v>1327</v>
      </c>
      <c r="G731" s="109" t="s">
        <v>1328</v>
      </c>
      <c r="H731" s="108">
        <v>1</v>
      </c>
      <c r="K731" s="110">
        <v>125</v>
      </c>
      <c r="L731" s="79">
        <v>0.01</v>
      </c>
      <c r="M731" s="107">
        <f t="shared" si="14"/>
        <v>125</v>
      </c>
      <c r="N731" s="76" t="s">
        <v>519</v>
      </c>
      <c r="O731" s="103"/>
    </row>
    <row r="732" s="32" customFormat="1" ht="14" spans="1:15">
      <c r="A732" s="44">
        <v>507</v>
      </c>
      <c r="E732" s="76" t="s">
        <v>129</v>
      </c>
      <c r="F732" s="108" t="s">
        <v>1093</v>
      </c>
      <c r="G732" s="109" t="s">
        <v>1329</v>
      </c>
      <c r="H732" s="108">
        <v>1</v>
      </c>
      <c r="K732" s="110">
        <v>220</v>
      </c>
      <c r="L732" s="79">
        <v>0.01</v>
      </c>
      <c r="M732" s="107">
        <f t="shared" si="14"/>
        <v>220</v>
      </c>
      <c r="N732" s="76" t="s">
        <v>519</v>
      </c>
      <c r="O732" s="101">
        <v>46042</v>
      </c>
    </row>
    <row r="733" s="32" customFormat="1" ht="14" spans="1:15">
      <c r="A733" s="44">
        <v>508</v>
      </c>
      <c r="E733" s="76" t="s">
        <v>129</v>
      </c>
      <c r="F733" s="108" t="s">
        <v>1190</v>
      </c>
      <c r="G733" s="109" t="s">
        <v>1330</v>
      </c>
      <c r="H733" s="108">
        <v>10</v>
      </c>
      <c r="K733" s="110">
        <v>3.4</v>
      </c>
      <c r="L733" s="79">
        <v>0.01</v>
      </c>
      <c r="M733" s="107">
        <f t="shared" si="14"/>
        <v>34</v>
      </c>
      <c r="N733" s="76" t="s">
        <v>519</v>
      </c>
      <c r="O733" s="102"/>
    </row>
    <row r="734" s="32" customFormat="1" ht="14" spans="1:15">
      <c r="A734" s="44">
        <v>509</v>
      </c>
      <c r="E734" s="76" t="s">
        <v>129</v>
      </c>
      <c r="F734" s="108" t="s">
        <v>1331</v>
      </c>
      <c r="G734" s="109"/>
      <c r="H734" s="108">
        <v>1</v>
      </c>
      <c r="K734" s="110">
        <v>65</v>
      </c>
      <c r="L734" s="79">
        <v>0.01</v>
      </c>
      <c r="M734" s="107">
        <f t="shared" si="14"/>
        <v>65</v>
      </c>
      <c r="N734" s="76" t="s">
        <v>519</v>
      </c>
      <c r="O734" s="103"/>
    </row>
    <row r="735" s="32" customFormat="1" ht="14" spans="1:15">
      <c r="A735" s="44">
        <v>510</v>
      </c>
      <c r="E735" s="76" t="s">
        <v>129</v>
      </c>
      <c r="F735" s="108" t="s">
        <v>707</v>
      </c>
      <c r="G735" s="109" t="s">
        <v>1332</v>
      </c>
      <c r="H735" s="108">
        <v>10</v>
      </c>
      <c r="K735" s="110">
        <v>36.5</v>
      </c>
      <c r="L735" s="79">
        <v>0.01</v>
      </c>
      <c r="M735" s="107">
        <f t="shared" si="14"/>
        <v>365</v>
      </c>
      <c r="N735" s="76" t="s">
        <v>519</v>
      </c>
      <c r="O735" s="101">
        <v>46043</v>
      </c>
    </row>
    <row r="736" s="32" customFormat="1" ht="14" spans="1:15">
      <c r="A736" s="44">
        <v>511</v>
      </c>
      <c r="E736" s="76" t="s">
        <v>129</v>
      </c>
      <c r="F736" s="108" t="s">
        <v>1333</v>
      </c>
      <c r="G736" s="109" t="s">
        <v>1334</v>
      </c>
      <c r="H736" s="108">
        <v>25</v>
      </c>
      <c r="K736" s="110">
        <v>1.8</v>
      </c>
      <c r="L736" s="79">
        <v>0.01</v>
      </c>
      <c r="M736" s="107">
        <f t="shared" si="14"/>
        <v>45</v>
      </c>
      <c r="N736" s="76" t="s">
        <v>519</v>
      </c>
      <c r="O736" s="103"/>
    </row>
    <row r="737" s="32" customFormat="1" ht="14" spans="1:15">
      <c r="A737" s="44">
        <v>512</v>
      </c>
      <c r="E737" s="76" t="s">
        <v>129</v>
      </c>
      <c r="F737" s="108" t="s">
        <v>740</v>
      </c>
      <c r="G737" s="109" t="s">
        <v>1335</v>
      </c>
      <c r="H737" s="108">
        <v>1</v>
      </c>
      <c r="K737" s="110">
        <v>62</v>
      </c>
      <c r="L737" s="79">
        <v>0.01</v>
      </c>
      <c r="M737" s="107">
        <f t="shared" si="14"/>
        <v>62</v>
      </c>
      <c r="N737" s="76" t="s">
        <v>519</v>
      </c>
      <c r="O737" s="101">
        <v>46044</v>
      </c>
    </row>
    <row r="738" s="32" customFormat="1" ht="14" spans="1:15">
      <c r="A738" s="44">
        <v>513</v>
      </c>
      <c r="E738" s="76" t="s">
        <v>129</v>
      </c>
      <c r="F738" s="108" t="s">
        <v>1336</v>
      </c>
      <c r="G738" s="109" t="s">
        <v>1337</v>
      </c>
      <c r="H738" s="108">
        <v>1</v>
      </c>
      <c r="K738" s="110">
        <v>44</v>
      </c>
      <c r="L738" s="79">
        <v>0.01</v>
      </c>
      <c r="M738" s="107">
        <f t="shared" si="14"/>
        <v>44</v>
      </c>
      <c r="N738" s="76" t="s">
        <v>519</v>
      </c>
      <c r="O738" s="102"/>
    </row>
    <row r="739" s="32" customFormat="1" ht="14" spans="1:15">
      <c r="A739" s="44">
        <v>514</v>
      </c>
      <c r="E739" s="76" t="s">
        <v>129</v>
      </c>
      <c r="F739" s="108" t="s">
        <v>1338</v>
      </c>
      <c r="G739" s="109" t="s">
        <v>1339</v>
      </c>
      <c r="H739" s="108">
        <v>1</v>
      </c>
      <c r="K739" s="110">
        <v>14</v>
      </c>
      <c r="L739" s="79">
        <v>0.01</v>
      </c>
      <c r="M739" s="107">
        <f t="shared" ref="M739:M802" si="15">H739*K739</f>
        <v>14</v>
      </c>
      <c r="N739" s="76" t="s">
        <v>519</v>
      </c>
      <c r="O739" s="102"/>
    </row>
    <row r="740" s="32" customFormat="1" ht="14" spans="1:15">
      <c r="A740" s="44">
        <v>515</v>
      </c>
      <c r="E740" s="76" t="s">
        <v>129</v>
      </c>
      <c r="F740" s="108" t="s">
        <v>1340</v>
      </c>
      <c r="G740" s="109" t="s">
        <v>1341</v>
      </c>
      <c r="H740" s="108">
        <v>1</v>
      </c>
      <c r="K740" s="110">
        <v>34</v>
      </c>
      <c r="L740" s="79">
        <v>0.01</v>
      </c>
      <c r="M740" s="107">
        <f t="shared" si="15"/>
        <v>34</v>
      </c>
      <c r="N740" s="76" t="s">
        <v>519</v>
      </c>
      <c r="O740" s="102"/>
    </row>
    <row r="741" s="32" customFormat="1" ht="14" spans="1:15">
      <c r="A741" s="44">
        <v>516</v>
      </c>
      <c r="E741" s="76" t="s">
        <v>129</v>
      </c>
      <c r="F741" s="108" t="s">
        <v>1342</v>
      </c>
      <c r="G741" s="109" t="s">
        <v>566</v>
      </c>
      <c r="H741" s="108">
        <v>5</v>
      </c>
      <c r="K741" s="110">
        <v>7</v>
      </c>
      <c r="L741" s="79">
        <v>0.01</v>
      </c>
      <c r="M741" s="107">
        <f t="shared" si="15"/>
        <v>35</v>
      </c>
      <c r="N741" s="76" t="s">
        <v>519</v>
      </c>
      <c r="O741" s="102"/>
    </row>
    <row r="742" s="32" customFormat="1" ht="14" spans="1:15">
      <c r="A742" s="44">
        <v>517</v>
      </c>
      <c r="E742" s="76" t="s">
        <v>129</v>
      </c>
      <c r="F742" s="108" t="s">
        <v>1209</v>
      </c>
      <c r="G742" s="109" t="s">
        <v>1343</v>
      </c>
      <c r="H742" s="108">
        <v>6</v>
      </c>
      <c r="K742" s="110">
        <v>28.5</v>
      </c>
      <c r="L742" s="79">
        <v>0.01</v>
      </c>
      <c r="M742" s="107">
        <f t="shared" si="15"/>
        <v>171</v>
      </c>
      <c r="N742" s="76" t="s">
        <v>519</v>
      </c>
      <c r="O742" s="102"/>
    </row>
    <row r="743" s="32" customFormat="1" ht="14" spans="1:15">
      <c r="A743" s="44">
        <v>518</v>
      </c>
      <c r="E743" s="76" t="s">
        <v>129</v>
      </c>
      <c r="F743" s="108" t="s">
        <v>1344</v>
      </c>
      <c r="G743" s="109" t="s">
        <v>1345</v>
      </c>
      <c r="H743" s="108">
        <v>5</v>
      </c>
      <c r="K743" s="110">
        <v>3</v>
      </c>
      <c r="L743" s="79">
        <v>0.01</v>
      </c>
      <c r="M743" s="107">
        <f t="shared" si="15"/>
        <v>15</v>
      </c>
      <c r="N743" s="76" t="s">
        <v>519</v>
      </c>
      <c r="O743" s="103"/>
    </row>
    <row r="744" s="32" customFormat="1" ht="14" spans="1:15">
      <c r="A744" s="44">
        <v>519</v>
      </c>
      <c r="E744" s="76" t="s">
        <v>129</v>
      </c>
      <c r="F744" s="108" t="s">
        <v>1185</v>
      </c>
      <c r="G744" s="109" t="s">
        <v>1346</v>
      </c>
      <c r="H744" s="108">
        <v>25</v>
      </c>
      <c r="K744" s="110">
        <v>2.1</v>
      </c>
      <c r="L744" s="79">
        <v>0.01</v>
      </c>
      <c r="M744" s="107">
        <f t="shared" si="15"/>
        <v>52.5</v>
      </c>
      <c r="N744" s="76" t="s">
        <v>519</v>
      </c>
      <c r="O744" s="101">
        <v>46045</v>
      </c>
    </row>
    <row r="745" s="32" customFormat="1" ht="14" spans="1:15">
      <c r="A745" s="44">
        <v>520</v>
      </c>
      <c r="E745" s="76" t="s">
        <v>129</v>
      </c>
      <c r="F745" s="108" t="s">
        <v>1347</v>
      </c>
      <c r="G745" s="109" t="s">
        <v>1348</v>
      </c>
      <c r="H745" s="108">
        <v>1</v>
      </c>
      <c r="K745" s="110">
        <v>69</v>
      </c>
      <c r="L745" s="79">
        <v>0.01</v>
      </c>
      <c r="M745" s="107">
        <f t="shared" si="15"/>
        <v>69</v>
      </c>
      <c r="N745" s="76" t="s">
        <v>519</v>
      </c>
      <c r="O745" s="103"/>
    </row>
    <row r="746" s="32" customFormat="1" ht="14" spans="1:15">
      <c r="A746" s="44">
        <v>521</v>
      </c>
      <c r="E746" s="76" t="s">
        <v>129</v>
      </c>
      <c r="F746" s="108" t="s">
        <v>1349</v>
      </c>
      <c r="G746" s="109" t="s">
        <v>1350</v>
      </c>
      <c r="H746" s="108">
        <v>2</v>
      </c>
      <c r="K746" s="110">
        <v>9</v>
      </c>
      <c r="L746" s="79">
        <v>0.01</v>
      </c>
      <c r="M746" s="107">
        <f t="shared" si="15"/>
        <v>18</v>
      </c>
      <c r="N746" s="76" t="s">
        <v>519</v>
      </c>
      <c r="O746" s="101">
        <v>46048</v>
      </c>
    </row>
    <row r="747" s="32" customFormat="1" ht="14" spans="1:15">
      <c r="A747" s="44">
        <v>522</v>
      </c>
      <c r="E747" s="76" t="s">
        <v>129</v>
      </c>
      <c r="F747" s="108" t="s">
        <v>1351</v>
      </c>
      <c r="G747" s="109" t="s">
        <v>1352</v>
      </c>
      <c r="H747" s="108">
        <v>8</v>
      </c>
      <c r="K747" s="110">
        <v>3.5</v>
      </c>
      <c r="L747" s="79">
        <v>0.01</v>
      </c>
      <c r="M747" s="107">
        <f t="shared" si="15"/>
        <v>28</v>
      </c>
      <c r="N747" s="76" t="s">
        <v>519</v>
      </c>
      <c r="O747" s="102"/>
    </row>
    <row r="748" s="32" customFormat="1" ht="13.5" customHeight="1" spans="1:15">
      <c r="A748" s="44">
        <v>523</v>
      </c>
      <c r="E748" s="76" t="s">
        <v>129</v>
      </c>
      <c r="F748" s="108" t="s">
        <v>1353</v>
      </c>
      <c r="G748" s="109" t="s">
        <v>1354</v>
      </c>
      <c r="H748" s="108">
        <v>4</v>
      </c>
      <c r="K748" s="110">
        <v>2.5</v>
      </c>
      <c r="L748" s="79">
        <v>0.01</v>
      </c>
      <c r="M748" s="107">
        <f t="shared" si="15"/>
        <v>10</v>
      </c>
      <c r="N748" s="76" t="s">
        <v>519</v>
      </c>
      <c r="O748" s="102"/>
    </row>
    <row r="749" s="32" customFormat="1" ht="14" spans="1:15">
      <c r="A749" s="44">
        <v>524</v>
      </c>
      <c r="E749" s="76" t="s">
        <v>129</v>
      </c>
      <c r="F749" s="108" t="s">
        <v>1355</v>
      </c>
      <c r="G749" s="109"/>
      <c r="H749" s="108">
        <v>2</v>
      </c>
      <c r="K749" s="110">
        <v>55</v>
      </c>
      <c r="L749" s="79">
        <v>0.01</v>
      </c>
      <c r="M749" s="107">
        <f t="shared" si="15"/>
        <v>110</v>
      </c>
      <c r="N749" s="76" t="s">
        <v>519</v>
      </c>
      <c r="O749" s="102"/>
    </row>
    <row r="750" s="32" customFormat="1" ht="14" spans="1:15">
      <c r="A750" s="44">
        <v>525</v>
      </c>
      <c r="E750" s="76" t="s">
        <v>129</v>
      </c>
      <c r="F750" s="108" t="s">
        <v>1356</v>
      </c>
      <c r="G750" s="109" t="s">
        <v>1357</v>
      </c>
      <c r="H750" s="108">
        <v>3</v>
      </c>
      <c r="K750" s="110">
        <v>45</v>
      </c>
      <c r="L750" s="79">
        <v>0.01</v>
      </c>
      <c r="M750" s="107">
        <f t="shared" si="15"/>
        <v>135</v>
      </c>
      <c r="N750" s="76" t="s">
        <v>519</v>
      </c>
      <c r="O750" s="102"/>
    </row>
    <row r="751" s="32" customFormat="1" ht="14" spans="1:15">
      <c r="A751" s="44">
        <v>526</v>
      </c>
      <c r="E751" s="76" t="s">
        <v>129</v>
      </c>
      <c r="F751" s="108" t="s">
        <v>1358</v>
      </c>
      <c r="G751" s="109" t="s">
        <v>1359</v>
      </c>
      <c r="H751" s="108">
        <v>1</v>
      </c>
      <c r="K751" s="110">
        <v>480</v>
      </c>
      <c r="L751" s="79">
        <v>0.01</v>
      </c>
      <c r="M751" s="107">
        <f t="shared" si="15"/>
        <v>480</v>
      </c>
      <c r="N751" s="76" t="s">
        <v>519</v>
      </c>
      <c r="O751" s="102"/>
    </row>
    <row r="752" s="32" customFormat="1" ht="14" spans="1:15">
      <c r="A752" s="44">
        <v>527</v>
      </c>
      <c r="E752" s="76" t="s">
        <v>129</v>
      </c>
      <c r="F752" s="108" t="s">
        <v>1358</v>
      </c>
      <c r="G752" s="109" t="s">
        <v>1360</v>
      </c>
      <c r="H752" s="108">
        <v>1</v>
      </c>
      <c r="K752" s="110">
        <v>420</v>
      </c>
      <c r="L752" s="79">
        <v>0.01</v>
      </c>
      <c r="M752" s="107">
        <f t="shared" si="15"/>
        <v>420</v>
      </c>
      <c r="N752" s="76" t="s">
        <v>519</v>
      </c>
      <c r="O752" s="102"/>
    </row>
    <row r="753" s="32" customFormat="1" ht="14" spans="1:15">
      <c r="A753" s="44">
        <v>528</v>
      </c>
      <c r="E753" s="76" t="s">
        <v>129</v>
      </c>
      <c r="F753" s="108" t="s">
        <v>1361</v>
      </c>
      <c r="G753" s="109" t="s">
        <v>1362</v>
      </c>
      <c r="H753" s="108">
        <v>20</v>
      </c>
      <c r="K753" s="110">
        <v>1.5</v>
      </c>
      <c r="L753" s="79">
        <v>0.01</v>
      </c>
      <c r="M753" s="107">
        <f t="shared" si="15"/>
        <v>30</v>
      </c>
      <c r="N753" s="76" t="s">
        <v>519</v>
      </c>
      <c r="O753" s="103"/>
    </row>
    <row r="754" s="32" customFormat="1" ht="14" spans="1:15">
      <c r="A754" s="44">
        <v>529</v>
      </c>
      <c r="E754" s="76" t="s">
        <v>129</v>
      </c>
      <c r="F754" s="108" t="s">
        <v>539</v>
      </c>
      <c r="G754" s="109" t="s">
        <v>1363</v>
      </c>
      <c r="H754" s="108">
        <v>1</v>
      </c>
      <c r="K754" s="110">
        <v>512</v>
      </c>
      <c r="L754" s="79">
        <v>0.01</v>
      </c>
      <c r="M754" s="107">
        <f t="shared" si="15"/>
        <v>512</v>
      </c>
      <c r="N754" s="76" t="s">
        <v>519</v>
      </c>
      <c r="O754" s="101">
        <v>46049</v>
      </c>
    </row>
    <row r="755" s="32" customFormat="1" ht="14" spans="1:15">
      <c r="A755" s="44">
        <v>530</v>
      </c>
      <c r="E755" s="76" t="s">
        <v>129</v>
      </c>
      <c r="F755" s="108" t="s">
        <v>1364</v>
      </c>
      <c r="G755" s="109" t="s">
        <v>1109</v>
      </c>
      <c r="H755" s="108">
        <v>40</v>
      </c>
      <c r="K755" s="110">
        <v>14</v>
      </c>
      <c r="L755" s="79">
        <v>0.01</v>
      </c>
      <c r="M755" s="107">
        <f t="shared" si="15"/>
        <v>560</v>
      </c>
      <c r="N755" s="76" t="s">
        <v>519</v>
      </c>
      <c r="O755" s="102"/>
    </row>
    <row r="756" s="32" customFormat="1" ht="13.5" customHeight="1" spans="1:15">
      <c r="A756" s="44">
        <v>531</v>
      </c>
      <c r="E756" s="76" t="s">
        <v>129</v>
      </c>
      <c r="F756" s="108" t="s">
        <v>1177</v>
      </c>
      <c r="G756" s="109" t="s">
        <v>1365</v>
      </c>
      <c r="H756" s="108">
        <v>5</v>
      </c>
      <c r="K756" s="110">
        <v>14.5</v>
      </c>
      <c r="L756" s="79">
        <v>0.01</v>
      </c>
      <c r="M756" s="107">
        <f t="shared" si="15"/>
        <v>72.5</v>
      </c>
      <c r="N756" s="76" t="s">
        <v>519</v>
      </c>
      <c r="O756" s="102"/>
    </row>
    <row r="757" s="32" customFormat="1" ht="14" spans="1:15">
      <c r="A757" s="44">
        <v>532</v>
      </c>
      <c r="E757" s="76" t="s">
        <v>129</v>
      </c>
      <c r="F757" s="108" t="s">
        <v>1141</v>
      </c>
      <c r="G757" s="109" t="s">
        <v>1366</v>
      </c>
      <c r="H757" s="108">
        <v>2</v>
      </c>
      <c r="K757" s="110">
        <v>125</v>
      </c>
      <c r="L757" s="79">
        <v>0.01</v>
      </c>
      <c r="M757" s="107">
        <f t="shared" si="15"/>
        <v>250</v>
      </c>
      <c r="N757" s="76" t="s">
        <v>519</v>
      </c>
      <c r="O757" s="103"/>
    </row>
    <row r="758" s="32" customFormat="1" ht="14" spans="1:15">
      <c r="A758" s="44">
        <v>533</v>
      </c>
      <c r="E758" s="76" t="s">
        <v>129</v>
      </c>
      <c r="F758" s="108" t="s">
        <v>664</v>
      </c>
      <c r="G758" s="109" t="s">
        <v>1367</v>
      </c>
      <c r="H758" s="108">
        <v>6</v>
      </c>
      <c r="K758" s="110">
        <v>65</v>
      </c>
      <c r="L758" s="79">
        <v>0.01</v>
      </c>
      <c r="M758" s="107">
        <f t="shared" si="15"/>
        <v>390</v>
      </c>
      <c r="N758" s="76" t="s">
        <v>519</v>
      </c>
      <c r="O758" s="101">
        <v>46050</v>
      </c>
    </row>
    <row r="759" s="32" customFormat="1" ht="14" spans="1:15">
      <c r="A759" s="44">
        <v>534</v>
      </c>
      <c r="E759" s="76" t="s">
        <v>129</v>
      </c>
      <c r="F759" s="108" t="s">
        <v>1368</v>
      </c>
      <c r="G759" s="109" t="s">
        <v>1369</v>
      </c>
      <c r="H759" s="108">
        <v>2</v>
      </c>
      <c r="K759" s="110">
        <v>30</v>
      </c>
      <c r="L759" s="79">
        <v>0.01</v>
      </c>
      <c r="M759" s="107">
        <f t="shared" si="15"/>
        <v>60</v>
      </c>
      <c r="N759" s="76" t="s">
        <v>519</v>
      </c>
      <c r="O759" s="102"/>
    </row>
    <row r="760" s="32" customFormat="1" ht="13.5" customHeight="1" spans="1:15">
      <c r="A760" s="44">
        <v>535</v>
      </c>
      <c r="E760" s="76" t="s">
        <v>129</v>
      </c>
      <c r="F760" s="108" t="s">
        <v>1370</v>
      </c>
      <c r="G760" s="109" t="s">
        <v>1371</v>
      </c>
      <c r="H760" s="108">
        <v>1</v>
      </c>
      <c r="K760" s="110">
        <v>662</v>
      </c>
      <c r="L760" s="79">
        <v>0.01</v>
      </c>
      <c r="M760" s="107">
        <f t="shared" si="15"/>
        <v>662</v>
      </c>
      <c r="N760" s="76" t="s">
        <v>519</v>
      </c>
      <c r="O760" s="102"/>
    </row>
    <row r="761" s="32" customFormat="1" ht="14" spans="1:15">
      <c r="A761" s="44">
        <v>536</v>
      </c>
      <c r="E761" s="76" t="s">
        <v>129</v>
      </c>
      <c r="F761" s="108" t="s">
        <v>1372</v>
      </c>
      <c r="G761" s="109" t="s">
        <v>1373</v>
      </c>
      <c r="H761" s="108">
        <v>5</v>
      </c>
      <c r="K761" s="110">
        <v>6.5</v>
      </c>
      <c r="L761" s="79">
        <v>0.01</v>
      </c>
      <c r="M761" s="107">
        <f t="shared" si="15"/>
        <v>32.5</v>
      </c>
      <c r="N761" s="76" t="s">
        <v>519</v>
      </c>
      <c r="O761" s="102"/>
    </row>
    <row r="762" s="32" customFormat="1" ht="14" spans="1:15">
      <c r="A762" s="44">
        <v>537</v>
      </c>
      <c r="E762" s="76" t="s">
        <v>129</v>
      </c>
      <c r="F762" s="108" t="s">
        <v>1374</v>
      </c>
      <c r="G762" s="109" t="s">
        <v>1375</v>
      </c>
      <c r="H762" s="108">
        <v>2</v>
      </c>
      <c r="K762" s="110">
        <v>9</v>
      </c>
      <c r="L762" s="79">
        <v>0.01</v>
      </c>
      <c r="M762" s="107">
        <f t="shared" si="15"/>
        <v>18</v>
      </c>
      <c r="N762" s="76" t="s">
        <v>519</v>
      </c>
      <c r="O762" s="102"/>
    </row>
    <row r="763" s="32" customFormat="1" ht="14" spans="1:15">
      <c r="A763" s="44">
        <v>538</v>
      </c>
      <c r="E763" s="76" t="s">
        <v>129</v>
      </c>
      <c r="F763" s="108" t="s">
        <v>1374</v>
      </c>
      <c r="G763" s="109" t="s">
        <v>1376</v>
      </c>
      <c r="H763" s="108">
        <v>2</v>
      </c>
      <c r="K763" s="110">
        <v>6</v>
      </c>
      <c r="L763" s="79">
        <v>0.01</v>
      </c>
      <c r="M763" s="107">
        <f t="shared" si="15"/>
        <v>12</v>
      </c>
      <c r="N763" s="76" t="s">
        <v>519</v>
      </c>
      <c r="O763" s="103"/>
    </row>
    <row r="764" s="32" customFormat="1" ht="14" spans="1:15">
      <c r="A764" s="44">
        <v>539</v>
      </c>
      <c r="E764" s="76" t="s">
        <v>129</v>
      </c>
      <c r="F764" s="108" t="s">
        <v>1377</v>
      </c>
      <c r="G764" s="109" t="s">
        <v>1378</v>
      </c>
      <c r="H764" s="108">
        <v>1</v>
      </c>
      <c r="K764" s="110">
        <v>560</v>
      </c>
      <c r="L764" s="79">
        <v>0.01</v>
      </c>
      <c r="M764" s="107">
        <f t="shared" si="15"/>
        <v>560</v>
      </c>
      <c r="N764" s="76" t="s">
        <v>519</v>
      </c>
      <c r="O764" s="101">
        <v>46051</v>
      </c>
    </row>
    <row r="765" s="32" customFormat="1" ht="14" spans="1:15">
      <c r="A765" s="44">
        <v>540</v>
      </c>
      <c r="E765" s="76" t="s">
        <v>129</v>
      </c>
      <c r="F765" s="108" t="s">
        <v>1379</v>
      </c>
      <c r="G765" s="109" t="s">
        <v>1380</v>
      </c>
      <c r="H765" s="108">
        <v>1</v>
      </c>
      <c r="K765" s="110">
        <v>94</v>
      </c>
      <c r="L765" s="79">
        <v>0.01</v>
      </c>
      <c r="M765" s="107">
        <f t="shared" si="15"/>
        <v>94</v>
      </c>
      <c r="N765" s="76" t="s">
        <v>519</v>
      </c>
      <c r="O765" s="102"/>
    </row>
    <row r="766" s="32" customFormat="1" ht="14" spans="1:15">
      <c r="A766" s="44">
        <v>541</v>
      </c>
      <c r="E766" s="76" t="s">
        <v>129</v>
      </c>
      <c r="F766" s="108" t="s">
        <v>1381</v>
      </c>
      <c r="G766" s="109" t="s">
        <v>1382</v>
      </c>
      <c r="H766" s="108">
        <v>1</v>
      </c>
      <c r="K766" s="110">
        <v>185</v>
      </c>
      <c r="L766" s="79">
        <v>0.01</v>
      </c>
      <c r="M766" s="107">
        <f t="shared" si="15"/>
        <v>185</v>
      </c>
      <c r="N766" s="76" t="s">
        <v>519</v>
      </c>
      <c r="O766" s="102"/>
    </row>
    <row r="767" s="32" customFormat="1" ht="14" spans="1:15">
      <c r="A767" s="44">
        <v>542</v>
      </c>
      <c r="E767" s="76" t="s">
        <v>129</v>
      </c>
      <c r="F767" s="108" t="s">
        <v>1383</v>
      </c>
      <c r="G767" s="109" t="s">
        <v>1384</v>
      </c>
      <c r="H767" s="108">
        <v>1</v>
      </c>
      <c r="K767" s="110">
        <v>6</v>
      </c>
      <c r="L767" s="79">
        <v>0.01</v>
      </c>
      <c r="M767" s="107">
        <f t="shared" si="15"/>
        <v>6</v>
      </c>
      <c r="N767" s="76" t="s">
        <v>519</v>
      </c>
      <c r="O767" s="103"/>
    </row>
    <row r="768" s="32" customFormat="1" ht="14" spans="1:15">
      <c r="A768" s="44">
        <v>543</v>
      </c>
      <c r="E768" s="76" t="s">
        <v>129</v>
      </c>
      <c r="F768" s="108" t="s">
        <v>1385</v>
      </c>
      <c r="G768" s="109" t="s">
        <v>1386</v>
      </c>
      <c r="H768" s="108">
        <v>3</v>
      </c>
      <c r="K768" s="110">
        <v>16</v>
      </c>
      <c r="L768" s="79">
        <v>0.01</v>
      </c>
      <c r="M768" s="107">
        <f t="shared" si="15"/>
        <v>48</v>
      </c>
      <c r="N768" s="76" t="s">
        <v>519</v>
      </c>
      <c r="O768" s="101">
        <v>46052</v>
      </c>
    </row>
    <row r="769" s="32" customFormat="1" ht="14" spans="1:15">
      <c r="A769" s="44">
        <v>544</v>
      </c>
      <c r="E769" s="76" t="s">
        <v>129</v>
      </c>
      <c r="F769" s="108" t="s">
        <v>1387</v>
      </c>
      <c r="G769" s="109" t="s">
        <v>1388</v>
      </c>
      <c r="H769" s="108">
        <v>1</v>
      </c>
      <c r="K769" s="110">
        <v>130</v>
      </c>
      <c r="L769" s="79">
        <v>0.01</v>
      </c>
      <c r="M769" s="107">
        <f t="shared" si="15"/>
        <v>130</v>
      </c>
      <c r="N769" s="76" t="s">
        <v>519</v>
      </c>
      <c r="O769" s="102"/>
    </row>
    <row r="770" s="32" customFormat="1" ht="14" spans="1:15">
      <c r="A770" s="44">
        <v>545</v>
      </c>
      <c r="E770" s="76" t="s">
        <v>129</v>
      </c>
      <c r="F770" s="108" t="s">
        <v>1389</v>
      </c>
      <c r="G770" s="109" t="s">
        <v>1390</v>
      </c>
      <c r="H770" s="108">
        <v>8</v>
      </c>
      <c r="K770" s="110">
        <v>11.5</v>
      </c>
      <c r="L770" s="79">
        <v>0.01</v>
      </c>
      <c r="M770" s="107">
        <f t="shared" si="15"/>
        <v>92</v>
      </c>
      <c r="N770" s="76" t="s">
        <v>519</v>
      </c>
      <c r="O770" s="102"/>
    </row>
    <row r="771" s="32" customFormat="1" ht="14" spans="1:15">
      <c r="A771" s="44">
        <v>546</v>
      </c>
      <c r="E771" s="76" t="s">
        <v>129</v>
      </c>
      <c r="F771" s="108" t="s">
        <v>1391</v>
      </c>
      <c r="G771" s="109" t="s">
        <v>1392</v>
      </c>
      <c r="H771" s="108">
        <v>1</v>
      </c>
      <c r="K771" s="110">
        <v>33.5</v>
      </c>
      <c r="L771" s="79">
        <v>0.01</v>
      </c>
      <c r="M771" s="107">
        <f t="shared" si="15"/>
        <v>33.5</v>
      </c>
      <c r="N771" s="76" t="s">
        <v>519</v>
      </c>
      <c r="O771" s="102"/>
    </row>
    <row r="772" s="32" customFormat="1" ht="14" spans="1:15">
      <c r="A772" s="44">
        <v>547</v>
      </c>
      <c r="E772" s="76" t="s">
        <v>129</v>
      </c>
      <c r="F772" s="108" t="s">
        <v>1393</v>
      </c>
      <c r="G772" s="109" t="s">
        <v>1394</v>
      </c>
      <c r="H772" s="108">
        <v>4</v>
      </c>
      <c r="K772" s="110">
        <v>17</v>
      </c>
      <c r="L772" s="79">
        <v>0.01</v>
      </c>
      <c r="M772" s="107">
        <f t="shared" si="15"/>
        <v>68</v>
      </c>
      <c r="N772" s="76" t="s">
        <v>519</v>
      </c>
      <c r="O772" s="102"/>
    </row>
    <row r="773" s="32" customFormat="1" ht="14" spans="1:15">
      <c r="A773" s="44">
        <v>548</v>
      </c>
      <c r="E773" s="76" t="s">
        <v>129</v>
      </c>
      <c r="F773" s="108" t="s">
        <v>1395</v>
      </c>
      <c r="G773" s="109" t="s">
        <v>1396</v>
      </c>
      <c r="H773" s="108">
        <v>1</v>
      </c>
      <c r="K773" s="110">
        <v>5</v>
      </c>
      <c r="L773" s="79">
        <v>0.01</v>
      </c>
      <c r="M773" s="107">
        <f t="shared" si="15"/>
        <v>5</v>
      </c>
      <c r="N773" s="76" t="s">
        <v>519</v>
      </c>
      <c r="O773" s="102"/>
    </row>
    <row r="774" s="32" customFormat="1" ht="14" spans="1:15">
      <c r="A774" s="44">
        <v>549</v>
      </c>
      <c r="E774" s="76" t="s">
        <v>129</v>
      </c>
      <c r="F774" s="108" t="s">
        <v>1395</v>
      </c>
      <c r="G774" s="109" t="s">
        <v>1397</v>
      </c>
      <c r="H774" s="108">
        <v>1</v>
      </c>
      <c r="K774" s="110">
        <v>5</v>
      </c>
      <c r="L774" s="79">
        <v>0.01</v>
      </c>
      <c r="M774" s="107">
        <f t="shared" si="15"/>
        <v>5</v>
      </c>
      <c r="N774" s="76" t="s">
        <v>519</v>
      </c>
      <c r="O774" s="102"/>
    </row>
    <row r="775" s="32" customFormat="1" ht="14" spans="1:15">
      <c r="A775" s="44">
        <v>550</v>
      </c>
      <c r="E775" s="76" t="s">
        <v>129</v>
      </c>
      <c r="F775" s="108" t="s">
        <v>1398</v>
      </c>
      <c r="G775" s="109" t="s">
        <v>1399</v>
      </c>
      <c r="H775" s="108">
        <v>3</v>
      </c>
      <c r="K775" s="110">
        <v>48</v>
      </c>
      <c r="L775" s="79">
        <v>0.01</v>
      </c>
      <c r="M775" s="107">
        <f t="shared" si="15"/>
        <v>144</v>
      </c>
      <c r="N775" s="76" t="s">
        <v>519</v>
      </c>
      <c r="O775" s="102"/>
    </row>
    <row r="776" s="32" customFormat="1" ht="14" spans="1:15">
      <c r="A776" s="44">
        <v>551</v>
      </c>
      <c r="E776" s="76" t="s">
        <v>129</v>
      </c>
      <c r="F776" s="108" t="s">
        <v>1105</v>
      </c>
      <c r="G776" s="109" t="s">
        <v>1400</v>
      </c>
      <c r="H776" s="108">
        <v>2</v>
      </c>
      <c r="K776" s="110">
        <v>18</v>
      </c>
      <c r="L776" s="79">
        <v>0.01</v>
      </c>
      <c r="M776" s="107">
        <f t="shared" si="15"/>
        <v>36</v>
      </c>
      <c r="N776" s="76" t="s">
        <v>519</v>
      </c>
      <c r="O776" s="102"/>
    </row>
    <row r="777" s="32" customFormat="1" ht="14" spans="1:15">
      <c r="A777" s="44">
        <v>552</v>
      </c>
      <c r="E777" s="76" t="s">
        <v>129</v>
      </c>
      <c r="F777" s="108" t="s">
        <v>1401</v>
      </c>
      <c r="G777" s="109" t="s">
        <v>1402</v>
      </c>
      <c r="H777" s="108">
        <v>1</v>
      </c>
      <c r="K777" s="110">
        <v>280</v>
      </c>
      <c r="L777" s="79">
        <v>0.01</v>
      </c>
      <c r="M777" s="107">
        <f t="shared" si="15"/>
        <v>280</v>
      </c>
      <c r="N777" s="76" t="s">
        <v>519</v>
      </c>
      <c r="O777" s="102"/>
    </row>
    <row r="778" s="32" customFormat="1" ht="14" spans="1:15">
      <c r="A778" s="44">
        <v>553</v>
      </c>
      <c r="E778" s="76" t="s">
        <v>129</v>
      </c>
      <c r="F778" s="108" t="s">
        <v>521</v>
      </c>
      <c r="G778" s="109" t="s">
        <v>881</v>
      </c>
      <c r="H778" s="108">
        <v>1</v>
      </c>
      <c r="K778" s="110">
        <v>4050</v>
      </c>
      <c r="L778" s="79">
        <v>0.01</v>
      </c>
      <c r="M778" s="107">
        <f t="shared" si="15"/>
        <v>4050</v>
      </c>
      <c r="N778" s="76" t="s">
        <v>519</v>
      </c>
      <c r="O778" s="103"/>
    </row>
    <row r="779" s="32" customFormat="1" ht="14" spans="1:15">
      <c r="A779" s="44">
        <v>554</v>
      </c>
      <c r="B779" s="32" t="s">
        <v>1403</v>
      </c>
      <c r="E779" s="76" t="s">
        <v>129</v>
      </c>
      <c r="F779" s="85" t="s">
        <v>1404</v>
      </c>
      <c r="G779" s="85" t="s">
        <v>1405</v>
      </c>
      <c r="H779" s="86">
        <v>2</v>
      </c>
      <c r="K779" s="87">
        <v>90</v>
      </c>
      <c r="L779" s="79">
        <v>0.01</v>
      </c>
      <c r="M779" s="107">
        <f t="shared" si="15"/>
        <v>180</v>
      </c>
      <c r="N779" s="76" t="s">
        <v>519</v>
      </c>
      <c r="O779" s="101">
        <v>46055</v>
      </c>
    </row>
    <row r="780" s="32" customFormat="1" ht="14" spans="1:15">
      <c r="A780" s="44">
        <v>555</v>
      </c>
      <c r="B780" s="44" t="s">
        <v>1406</v>
      </c>
      <c r="C780" s="44"/>
      <c r="D780" s="44"/>
      <c r="E780" s="44" t="s">
        <v>129</v>
      </c>
      <c r="F780" s="85" t="s">
        <v>1407</v>
      </c>
      <c r="G780" s="85" t="s">
        <v>1408</v>
      </c>
      <c r="H780" s="86">
        <v>1</v>
      </c>
      <c r="K780" s="87">
        <v>240</v>
      </c>
      <c r="L780" s="79">
        <v>0.01</v>
      </c>
      <c r="M780" s="107">
        <f t="shared" si="15"/>
        <v>240</v>
      </c>
      <c r="N780" s="76" t="s">
        <v>519</v>
      </c>
      <c r="O780" s="103"/>
    </row>
    <row r="781" s="32" customFormat="1" ht="14" spans="1:15">
      <c r="A781" s="44">
        <v>556</v>
      </c>
      <c r="B781" s="32" t="s">
        <v>1409</v>
      </c>
      <c r="E781" s="98" t="s">
        <v>129</v>
      </c>
      <c r="F781" s="85" t="s">
        <v>1410</v>
      </c>
      <c r="G781" s="85" t="s">
        <v>1411</v>
      </c>
      <c r="H781" s="86">
        <v>1</v>
      </c>
      <c r="K781" s="87">
        <v>310</v>
      </c>
      <c r="L781" s="79">
        <v>0.01</v>
      </c>
      <c r="M781" s="107">
        <f t="shared" si="15"/>
        <v>310</v>
      </c>
      <c r="N781" s="76" t="s">
        <v>519</v>
      </c>
      <c r="O781" s="101">
        <v>46057</v>
      </c>
    </row>
    <row r="782" s="32" customFormat="1" ht="14" spans="1:15">
      <c r="A782" s="44">
        <v>557</v>
      </c>
      <c r="B782" s="32" t="s">
        <v>1412</v>
      </c>
      <c r="E782" s="76" t="s">
        <v>129</v>
      </c>
      <c r="F782" s="85" t="s">
        <v>1413</v>
      </c>
      <c r="G782" s="85" t="s">
        <v>1414</v>
      </c>
      <c r="H782" s="86">
        <v>4</v>
      </c>
      <c r="K782" s="87">
        <v>16</v>
      </c>
      <c r="L782" s="79">
        <v>0.01</v>
      </c>
      <c r="M782" s="107">
        <f t="shared" si="15"/>
        <v>64</v>
      </c>
      <c r="N782" s="76" t="s">
        <v>519</v>
      </c>
      <c r="O782" s="103"/>
    </row>
    <row r="783" s="32" customFormat="1" ht="14" spans="1:15">
      <c r="A783" s="44">
        <v>558</v>
      </c>
      <c r="B783" s="32" t="s">
        <v>507</v>
      </c>
      <c r="E783" s="76" t="s">
        <v>129</v>
      </c>
      <c r="F783" s="85" t="s">
        <v>1415</v>
      </c>
      <c r="G783" s="85" t="s">
        <v>1416</v>
      </c>
      <c r="H783" s="86">
        <v>1</v>
      </c>
      <c r="K783" s="87">
        <v>620</v>
      </c>
      <c r="L783" s="79">
        <v>0.01</v>
      </c>
      <c r="M783" s="107">
        <f t="shared" si="15"/>
        <v>620</v>
      </c>
      <c r="N783" s="76" t="s">
        <v>519</v>
      </c>
      <c r="O783" s="101">
        <v>46058</v>
      </c>
    </row>
    <row r="784" s="32" customFormat="1" ht="14" spans="1:15">
      <c r="A784" s="44">
        <v>559</v>
      </c>
      <c r="B784" s="32" t="s">
        <v>1417</v>
      </c>
      <c r="E784" s="76" t="s">
        <v>129</v>
      </c>
      <c r="F784" s="85" t="s">
        <v>108</v>
      </c>
      <c r="G784" s="85" t="s">
        <v>1418</v>
      </c>
      <c r="H784" s="86">
        <v>5</v>
      </c>
      <c r="K784" s="87">
        <v>28</v>
      </c>
      <c r="L784" s="79">
        <v>0.01</v>
      </c>
      <c r="M784" s="107">
        <f t="shared" si="15"/>
        <v>140</v>
      </c>
      <c r="N784" s="76" t="s">
        <v>519</v>
      </c>
      <c r="O784" s="103"/>
    </row>
    <row r="785" s="32" customFormat="1" ht="14" spans="1:15">
      <c r="A785" s="44">
        <v>560</v>
      </c>
      <c r="B785" s="32" t="s">
        <v>1419</v>
      </c>
      <c r="E785" s="76" t="s">
        <v>129</v>
      </c>
      <c r="F785" s="85" t="s">
        <v>1420</v>
      </c>
      <c r="G785" s="85"/>
      <c r="H785" s="86">
        <v>1</v>
      </c>
      <c r="K785" s="87">
        <v>43</v>
      </c>
      <c r="L785" s="79">
        <v>0.01</v>
      </c>
      <c r="M785" s="107">
        <f t="shared" si="15"/>
        <v>43</v>
      </c>
      <c r="N785" s="76" t="s">
        <v>519</v>
      </c>
      <c r="O785" s="101">
        <v>46061</v>
      </c>
    </row>
    <row r="786" s="32" customFormat="1" ht="14" spans="1:15">
      <c r="A786" s="44">
        <v>561</v>
      </c>
      <c r="B786" s="32" t="s">
        <v>1421</v>
      </c>
      <c r="E786" s="76" t="s">
        <v>129</v>
      </c>
      <c r="F786" s="85" t="s">
        <v>1422</v>
      </c>
      <c r="G786" s="85"/>
      <c r="H786" s="86">
        <v>2</v>
      </c>
      <c r="K786" s="87">
        <v>110</v>
      </c>
      <c r="L786" s="79">
        <v>0.01</v>
      </c>
      <c r="M786" s="107">
        <f t="shared" si="15"/>
        <v>220</v>
      </c>
      <c r="N786" s="76" t="s">
        <v>519</v>
      </c>
      <c r="O786" s="102"/>
    </row>
    <row r="787" s="32" customFormat="1" ht="14" spans="1:15">
      <c r="A787" s="44">
        <v>562</v>
      </c>
      <c r="B787" s="32" t="s">
        <v>1423</v>
      </c>
      <c r="E787" s="76" t="s">
        <v>129</v>
      </c>
      <c r="F787" s="85" t="s">
        <v>910</v>
      </c>
      <c r="G787" s="85" t="s">
        <v>1424</v>
      </c>
      <c r="H787" s="86">
        <v>1</v>
      </c>
      <c r="K787" s="87">
        <v>218</v>
      </c>
      <c r="L787" s="79">
        <v>0.01</v>
      </c>
      <c r="M787" s="107">
        <f t="shared" si="15"/>
        <v>218</v>
      </c>
      <c r="N787" s="76" t="s">
        <v>519</v>
      </c>
      <c r="O787" s="102"/>
    </row>
    <row r="788" s="32" customFormat="1" ht="14" spans="1:15">
      <c r="A788" s="44">
        <v>563</v>
      </c>
      <c r="B788" s="32" t="s">
        <v>1423</v>
      </c>
      <c r="E788" s="76" t="s">
        <v>129</v>
      </c>
      <c r="F788" s="85" t="s">
        <v>1425</v>
      </c>
      <c r="G788" s="85" t="s">
        <v>1426</v>
      </c>
      <c r="H788" s="86">
        <v>1</v>
      </c>
      <c r="K788" s="87">
        <v>72</v>
      </c>
      <c r="L788" s="79">
        <v>0.01</v>
      </c>
      <c r="M788" s="107">
        <f t="shared" si="15"/>
        <v>72</v>
      </c>
      <c r="N788" s="76" t="s">
        <v>519</v>
      </c>
      <c r="O788" s="102"/>
    </row>
    <row r="789" s="32" customFormat="1" ht="14" spans="1:15">
      <c r="A789" s="44">
        <v>564</v>
      </c>
      <c r="B789" s="32" t="s">
        <v>1423</v>
      </c>
      <c r="E789" s="76" t="s">
        <v>129</v>
      </c>
      <c r="F789" s="85" t="s">
        <v>1427</v>
      </c>
      <c r="G789" s="85" t="s">
        <v>1428</v>
      </c>
      <c r="H789" s="86">
        <v>1</v>
      </c>
      <c r="K789" s="87">
        <v>120</v>
      </c>
      <c r="L789" s="79">
        <v>0.01</v>
      </c>
      <c r="M789" s="107">
        <f t="shared" si="15"/>
        <v>120</v>
      </c>
      <c r="N789" s="76" t="s">
        <v>519</v>
      </c>
      <c r="O789" s="102"/>
    </row>
    <row r="790" s="32" customFormat="1" ht="14" spans="1:15">
      <c r="A790" s="44">
        <v>565</v>
      </c>
      <c r="B790" s="32" t="s">
        <v>1423</v>
      </c>
      <c r="E790" s="76" t="s">
        <v>129</v>
      </c>
      <c r="F790" s="85" t="s">
        <v>1429</v>
      </c>
      <c r="G790" s="85" t="s">
        <v>1430</v>
      </c>
      <c r="H790" s="86">
        <v>1</v>
      </c>
      <c r="K790" s="87">
        <v>8</v>
      </c>
      <c r="L790" s="79">
        <v>0.01</v>
      </c>
      <c r="M790" s="107">
        <f t="shared" si="15"/>
        <v>8</v>
      </c>
      <c r="N790" s="76" t="s">
        <v>519</v>
      </c>
      <c r="O790" s="102"/>
    </row>
    <row r="791" s="32" customFormat="1" ht="14" spans="1:15">
      <c r="A791" s="44">
        <v>566</v>
      </c>
      <c r="B791" s="32" t="s">
        <v>1423</v>
      </c>
      <c r="E791" s="76" t="s">
        <v>129</v>
      </c>
      <c r="F791" s="85" t="s">
        <v>1429</v>
      </c>
      <c r="G791" s="85" t="s">
        <v>1431</v>
      </c>
      <c r="H791" s="86">
        <v>1</v>
      </c>
      <c r="K791" s="87">
        <v>6</v>
      </c>
      <c r="L791" s="79">
        <v>0.01</v>
      </c>
      <c r="M791" s="107">
        <f t="shared" si="15"/>
        <v>6</v>
      </c>
      <c r="N791" s="76" t="s">
        <v>519</v>
      </c>
      <c r="O791" s="102"/>
    </row>
    <row r="792" s="32" customFormat="1" ht="14" spans="1:15">
      <c r="A792" s="44">
        <v>567</v>
      </c>
      <c r="B792" s="32" t="s">
        <v>1423</v>
      </c>
      <c r="E792" s="76" t="s">
        <v>129</v>
      </c>
      <c r="F792" s="85" t="s">
        <v>1432</v>
      </c>
      <c r="G792" s="85" t="s">
        <v>1433</v>
      </c>
      <c r="H792" s="86">
        <v>4</v>
      </c>
      <c r="K792" s="87">
        <v>13</v>
      </c>
      <c r="L792" s="79">
        <v>0.01</v>
      </c>
      <c r="M792" s="107">
        <f t="shared" si="15"/>
        <v>52</v>
      </c>
      <c r="N792" s="76" t="s">
        <v>519</v>
      </c>
      <c r="O792" s="103"/>
    </row>
    <row r="793" s="32" customFormat="1" ht="14" spans="1:15">
      <c r="A793" s="44">
        <v>568</v>
      </c>
      <c r="B793" s="32" t="s">
        <v>1434</v>
      </c>
      <c r="E793" s="76" t="s">
        <v>129</v>
      </c>
      <c r="F793" s="85" t="s">
        <v>655</v>
      </c>
      <c r="G793" s="85" t="s">
        <v>1435</v>
      </c>
      <c r="H793" s="86">
        <v>2</v>
      </c>
      <c r="K793" s="87">
        <v>208</v>
      </c>
      <c r="L793" s="79">
        <v>0.01</v>
      </c>
      <c r="M793" s="107">
        <f t="shared" si="15"/>
        <v>416</v>
      </c>
      <c r="N793" s="76" t="s">
        <v>519</v>
      </c>
      <c r="O793" s="101">
        <v>46078</v>
      </c>
    </row>
    <row r="794" s="32" customFormat="1" ht="14" spans="1:15">
      <c r="A794" s="44">
        <v>569</v>
      </c>
      <c r="B794" s="32" t="s">
        <v>1434</v>
      </c>
      <c r="E794" s="76" t="s">
        <v>129</v>
      </c>
      <c r="F794" s="85" t="s">
        <v>1436</v>
      </c>
      <c r="G794" s="85" t="s">
        <v>1437</v>
      </c>
      <c r="H794" s="86">
        <v>2</v>
      </c>
      <c r="K794" s="87">
        <v>19</v>
      </c>
      <c r="L794" s="79">
        <v>0.01</v>
      </c>
      <c r="M794" s="107">
        <f t="shared" si="15"/>
        <v>38</v>
      </c>
      <c r="N794" s="76" t="s">
        <v>519</v>
      </c>
      <c r="O794" s="102"/>
    </row>
    <row r="795" s="32" customFormat="1" ht="14" spans="1:15">
      <c r="A795" s="44">
        <v>570</v>
      </c>
      <c r="B795" s="32" t="s">
        <v>1434</v>
      </c>
      <c r="E795" s="76" t="s">
        <v>129</v>
      </c>
      <c r="F795" s="85" t="s">
        <v>1198</v>
      </c>
      <c r="G795" s="85" t="s">
        <v>1438</v>
      </c>
      <c r="H795" s="86">
        <v>5</v>
      </c>
      <c r="K795" s="87">
        <v>13</v>
      </c>
      <c r="L795" s="79">
        <v>0.01</v>
      </c>
      <c r="M795" s="107">
        <f t="shared" si="15"/>
        <v>65</v>
      </c>
      <c r="N795" s="76" t="s">
        <v>519</v>
      </c>
      <c r="O795" s="102"/>
    </row>
    <row r="796" s="32" customFormat="1" ht="14" spans="1:15">
      <c r="A796" s="44">
        <v>571</v>
      </c>
      <c r="B796" s="32" t="s">
        <v>1434</v>
      </c>
      <c r="E796" s="76" t="s">
        <v>129</v>
      </c>
      <c r="F796" s="85" t="s">
        <v>657</v>
      </c>
      <c r="G796" s="85" t="s">
        <v>1439</v>
      </c>
      <c r="H796" s="86">
        <v>10</v>
      </c>
      <c r="K796" s="87">
        <v>29</v>
      </c>
      <c r="L796" s="79">
        <v>0.01</v>
      </c>
      <c r="M796" s="107">
        <f t="shared" si="15"/>
        <v>290</v>
      </c>
      <c r="N796" s="76" t="s">
        <v>519</v>
      </c>
      <c r="O796" s="102"/>
    </row>
    <row r="797" s="32" customFormat="1" ht="14" spans="1:15">
      <c r="A797" s="44">
        <v>572</v>
      </c>
      <c r="B797" s="44" t="s">
        <v>1406</v>
      </c>
      <c r="C797" s="44"/>
      <c r="D797" s="44"/>
      <c r="E797" s="44" t="s">
        <v>129</v>
      </c>
      <c r="F797" s="85" t="s">
        <v>1440</v>
      </c>
      <c r="G797" s="85" t="s">
        <v>1441</v>
      </c>
      <c r="H797" s="86">
        <v>1</v>
      </c>
      <c r="K797" s="87">
        <v>75</v>
      </c>
      <c r="L797" s="79">
        <v>0.01</v>
      </c>
      <c r="M797" s="107">
        <f t="shared" si="15"/>
        <v>75</v>
      </c>
      <c r="N797" s="76" t="s">
        <v>519</v>
      </c>
      <c r="O797" s="102"/>
    </row>
    <row r="798" s="32" customFormat="1" ht="14" spans="1:15">
      <c r="A798" s="44">
        <v>573</v>
      </c>
      <c r="B798" s="32" t="s">
        <v>1442</v>
      </c>
      <c r="E798" s="98" t="s">
        <v>129</v>
      </c>
      <c r="F798" s="85" t="s">
        <v>1443</v>
      </c>
      <c r="G798" s="85" t="s">
        <v>1444</v>
      </c>
      <c r="H798" s="86">
        <v>1</v>
      </c>
      <c r="K798" s="87">
        <v>728</v>
      </c>
      <c r="L798" s="79">
        <v>0.01</v>
      </c>
      <c r="M798" s="107">
        <f t="shared" si="15"/>
        <v>728</v>
      </c>
      <c r="N798" s="76" t="s">
        <v>519</v>
      </c>
      <c r="O798" s="102"/>
    </row>
    <row r="799" s="32" customFormat="1" ht="14" spans="1:15">
      <c r="A799" s="44">
        <v>574</v>
      </c>
      <c r="B799" s="44" t="s">
        <v>1406</v>
      </c>
      <c r="C799" s="44"/>
      <c r="D799" s="44"/>
      <c r="E799" s="44" t="s">
        <v>129</v>
      </c>
      <c r="F799" s="85" t="s">
        <v>1445</v>
      </c>
      <c r="G799" s="85" t="s">
        <v>1446</v>
      </c>
      <c r="H799" s="86">
        <v>1</v>
      </c>
      <c r="K799" s="87">
        <v>56</v>
      </c>
      <c r="L799" s="79">
        <v>0.01</v>
      </c>
      <c r="M799" s="107">
        <f t="shared" si="15"/>
        <v>56</v>
      </c>
      <c r="N799" s="76" t="s">
        <v>519</v>
      </c>
      <c r="O799" s="102"/>
    </row>
    <row r="800" s="32" customFormat="1" ht="14" spans="1:15">
      <c r="A800" s="44">
        <v>575</v>
      </c>
      <c r="B800" s="44" t="s">
        <v>1406</v>
      </c>
      <c r="C800" s="44"/>
      <c r="D800" s="44"/>
      <c r="E800" s="44" t="s">
        <v>129</v>
      </c>
      <c r="F800" s="85" t="s">
        <v>1447</v>
      </c>
      <c r="G800" s="85" t="s">
        <v>1448</v>
      </c>
      <c r="H800" s="86">
        <v>1</v>
      </c>
      <c r="K800" s="87">
        <v>50</v>
      </c>
      <c r="L800" s="79">
        <v>0.01</v>
      </c>
      <c r="M800" s="107">
        <f t="shared" si="15"/>
        <v>50</v>
      </c>
      <c r="N800" s="76" t="s">
        <v>519</v>
      </c>
      <c r="O800" s="103"/>
    </row>
    <row r="801" s="32" customFormat="1" ht="14" spans="1:22">
      <c r="A801" s="44">
        <v>576</v>
      </c>
      <c r="B801" s="44" t="s">
        <v>1406</v>
      </c>
      <c r="C801" s="44"/>
      <c r="D801" s="44"/>
      <c r="E801" s="44" t="s">
        <v>129</v>
      </c>
      <c r="F801" s="85" t="s">
        <v>1449</v>
      </c>
      <c r="G801" s="85" t="s">
        <v>1450</v>
      </c>
      <c r="H801" s="86">
        <v>2</v>
      </c>
      <c r="K801" s="87">
        <v>55</v>
      </c>
      <c r="L801" s="79">
        <v>0.01</v>
      </c>
      <c r="M801" s="107">
        <f t="shared" si="15"/>
        <v>110</v>
      </c>
      <c r="N801" s="76" t="s">
        <v>519</v>
      </c>
      <c r="O801" s="101">
        <v>46079</v>
      </c>
    </row>
    <row r="802" s="32" customFormat="1" ht="14" spans="1:22">
      <c r="A802" s="44">
        <v>577</v>
      </c>
      <c r="B802" s="44" t="s">
        <v>1406</v>
      </c>
      <c r="C802" s="44"/>
      <c r="D802" s="44"/>
      <c r="E802" s="44" t="s">
        <v>129</v>
      </c>
      <c r="F802" s="85" t="s">
        <v>1451</v>
      </c>
      <c r="G802" s="85" t="s">
        <v>1452</v>
      </c>
      <c r="H802" s="86">
        <v>1</v>
      </c>
      <c r="K802" s="87">
        <v>345</v>
      </c>
      <c r="L802" s="79">
        <v>0.01</v>
      </c>
      <c r="M802" s="107">
        <f t="shared" si="15"/>
        <v>345</v>
      </c>
      <c r="N802" s="76" t="s">
        <v>519</v>
      </c>
      <c r="O802" s="102"/>
    </row>
    <row r="803" s="32" customFormat="1" ht="14" spans="1:22">
      <c r="A803" s="44">
        <v>578</v>
      </c>
      <c r="B803" s="32" t="s">
        <v>1453</v>
      </c>
      <c r="E803" s="98" t="s">
        <v>129</v>
      </c>
      <c r="F803" s="85" t="s">
        <v>1454</v>
      </c>
      <c r="G803" s="85" t="s">
        <v>1455</v>
      </c>
      <c r="H803" s="86">
        <v>1</v>
      </c>
      <c r="K803" s="87">
        <v>350</v>
      </c>
      <c r="L803" s="79">
        <v>0.01</v>
      </c>
      <c r="M803" s="107">
        <f t="shared" ref="M803:M818" si="16">H803*K803</f>
        <v>350</v>
      </c>
      <c r="N803" s="76" t="s">
        <v>519</v>
      </c>
      <c r="O803" s="102"/>
    </row>
    <row r="804" s="32" customFormat="1" ht="14" spans="1:22">
      <c r="A804" s="44">
        <v>579</v>
      </c>
      <c r="B804" s="32" t="s">
        <v>1453</v>
      </c>
      <c r="E804" s="76" t="s">
        <v>129</v>
      </c>
      <c r="F804" s="85" t="s">
        <v>1456</v>
      </c>
      <c r="G804" s="85" t="s">
        <v>1457</v>
      </c>
      <c r="H804" s="86">
        <v>5</v>
      </c>
      <c r="K804" s="87">
        <v>5.9</v>
      </c>
      <c r="L804" s="79">
        <v>0.01</v>
      </c>
      <c r="M804" s="107">
        <f t="shared" si="16"/>
        <v>29.5</v>
      </c>
      <c r="N804" s="76" t="s">
        <v>519</v>
      </c>
      <c r="O804" s="102"/>
    </row>
    <row r="805" s="32" customFormat="1" ht="14" spans="1:22">
      <c r="A805" s="44">
        <v>580</v>
      </c>
      <c r="B805" s="32" t="s">
        <v>1453</v>
      </c>
      <c r="E805" s="76" t="s">
        <v>129</v>
      </c>
      <c r="F805" s="85" t="s">
        <v>1456</v>
      </c>
      <c r="G805" s="85" t="s">
        <v>1458</v>
      </c>
      <c r="H805" s="86">
        <v>5</v>
      </c>
      <c r="K805" s="87">
        <v>11.5</v>
      </c>
      <c r="L805" s="79">
        <v>0.01</v>
      </c>
      <c r="M805" s="107">
        <f t="shared" si="16"/>
        <v>57.5</v>
      </c>
      <c r="N805" s="76" t="s">
        <v>519</v>
      </c>
      <c r="O805" s="102"/>
    </row>
    <row r="806" s="32" customFormat="1" ht="14" spans="1:22">
      <c r="A806" s="44">
        <v>581</v>
      </c>
      <c r="B806" s="32" t="s">
        <v>1423</v>
      </c>
      <c r="E806" s="76" t="s">
        <v>129</v>
      </c>
      <c r="F806" s="85" t="s">
        <v>1459</v>
      </c>
      <c r="G806" s="85" t="s">
        <v>1460</v>
      </c>
      <c r="H806" s="86">
        <v>1</v>
      </c>
      <c r="K806" s="87">
        <v>51</v>
      </c>
      <c r="L806" s="79">
        <v>0.01</v>
      </c>
      <c r="M806" s="107">
        <f t="shared" si="16"/>
        <v>51</v>
      </c>
      <c r="N806" s="76" t="s">
        <v>519</v>
      </c>
      <c r="O806" s="102"/>
    </row>
    <row r="807" s="32" customFormat="1" ht="14" spans="1:22">
      <c r="A807" s="44">
        <v>582</v>
      </c>
      <c r="B807" s="44" t="s">
        <v>1406</v>
      </c>
      <c r="C807" s="44"/>
      <c r="D807" s="44"/>
      <c r="E807" s="44" t="s">
        <v>129</v>
      </c>
      <c r="F807" s="85" t="s">
        <v>1461</v>
      </c>
      <c r="G807" s="85" t="s">
        <v>1462</v>
      </c>
      <c r="H807" s="86">
        <v>1</v>
      </c>
      <c r="K807" s="87">
        <v>12</v>
      </c>
      <c r="L807" s="79">
        <v>0.01</v>
      </c>
      <c r="M807" s="107">
        <f t="shared" si="16"/>
        <v>12</v>
      </c>
      <c r="N807" s="76" t="s">
        <v>519</v>
      </c>
      <c r="O807" s="103"/>
    </row>
    <row r="808" s="32" customFormat="1" ht="14" spans="1:22">
      <c r="A808" s="44">
        <v>583</v>
      </c>
      <c r="B808" s="32" t="s">
        <v>1463</v>
      </c>
      <c r="E808" s="98" t="s">
        <v>129</v>
      </c>
      <c r="F808" s="85" t="s">
        <v>1361</v>
      </c>
      <c r="G808" s="85" t="s">
        <v>1464</v>
      </c>
      <c r="H808" s="86">
        <v>10</v>
      </c>
      <c r="K808" s="87">
        <v>6.2</v>
      </c>
      <c r="L808" s="79">
        <v>0.01</v>
      </c>
      <c r="M808" s="107">
        <f t="shared" si="16"/>
        <v>62</v>
      </c>
      <c r="N808" s="76" t="s">
        <v>519</v>
      </c>
      <c r="O808" s="101">
        <v>46080</v>
      </c>
    </row>
    <row r="809" s="32" customFormat="1" ht="26.65" customHeight="1" spans="1:22">
      <c r="A809" s="44">
        <v>584</v>
      </c>
      <c r="B809" s="32" t="s">
        <v>1465</v>
      </c>
      <c r="E809" s="76" t="s">
        <v>129</v>
      </c>
      <c r="F809" s="85" t="s">
        <v>1466</v>
      </c>
      <c r="G809" s="85"/>
      <c r="H809" s="86">
        <v>1</v>
      </c>
      <c r="K809" s="87">
        <v>62</v>
      </c>
      <c r="L809" s="79">
        <v>0.01</v>
      </c>
      <c r="M809" s="107">
        <f t="shared" si="16"/>
        <v>62</v>
      </c>
      <c r="N809" s="76" t="s">
        <v>519</v>
      </c>
      <c r="O809" s="103"/>
    </row>
    <row r="810" s="32" customFormat="1" ht="15" spans="1:22">
      <c r="A810" s="44">
        <v>585</v>
      </c>
      <c r="B810" s="44" t="s">
        <v>1423</v>
      </c>
      <c r="C810" s="44" t="s">
        <v>508</v>
      </c>
      <c r="D810" s="111" t="s">
        <v>1467</v>
      </c>
      <c r="E810" s="76" t="s">
        <v>129</v>
      </c>
      <c r="F810" s="93" t="s">
        <v>1468</v>
      </c>
      <c r="G810" s="93" t="s">
        <v>1469</v>
      </c>
      <c r="H810" s="93">
        <v>1</v>
      </c>
      <c r="I810" s="93"/>
      <c r="K810" s="95">
        <v>70</v>
      </c>
      <c r="L810" s="79">
        <v>0.01</v>
      </c>
      <c r="M810" s="107">
        <f t="shared" si="16"/>
        <v>70</v>
      </c>
      <c r="N810" s="76" t="s">
        <v>519</v>
      </c>
      <c r="O810" s="112">
        <v>46084</v>
      </c>
      <c r="V810" s="32">
        <v>58.48</v>
      </c>
    </row>
    <row r="811" s="32" customFormat="1" ht="15" spans="1:22">
      <c r="A811" s="44">
        <v>586</v>
      </c>
      <c r="B811" s="44" t="s">
        <v>1423</v>
      </c>
      <c r="C811" s="44" t="s">
        <v>508</v>
      </c>
      <c r="D811" s="111" t="s">
        <v>1467</v>
      </c>
      <c r="E811" s="44" t="s">
        <v>129</v>
      </c>
      <c r="F811" s="93" t="s">
        <v>548</v>
      </c>
      <c r="G811" s="93" t="s">
        <v>1470</v>
      </c>
      <c r="H811" s="93">
        <v>3</v>
      </c>
      <c r="I811" s="93"/>
      <c r="K811" s="95">
        <v>13</v>
      </c>
      <c r="L811" s="79">
        <v>0.01</v>
      </c>
      <c r="M811" s="107">
        <f t="shared" si="16"/>
        <v>39</v>
      </c>
      <c r="N811" s="76" t="s">
        <v>519</v>
      </c>
      <c r="O811" s="112">
        <v>46084</v>
      </c>
      <c r="V811" s="32">
        <v>33.24</v>
      </c>
    </row>
    <row r="812" s="32" customFormat="1" ht="15" spans="1:22">
      <c r="A812" s="44">
        <v>587</v>
      </c>
      <c r="B812" s="44" t="s">
        <v>1423</v>
      </c>
      <c r="C812" s="44" t="s">
        <v>508</v>
      </c>
      <c r="D812" s="111" t="s">
        <v>1467</v>
      </c>
      <c r="E812" s="44" t="s">
        <v>129</v>
      </c>
      <c r="F812" s="93" t="s">
        <v>1468</v>
      </c>
      <c r="G812" s="93" t="s">
        <v>1471</v>
      </c>
      <c r="H812" s="93">
        <v>1</v>
      </c>
      <c r="I812" s="93"/>
      <c r="K812" s="95">
        <v>76</v>
      </c>
      <c r="L812" s="79">
        <v>0.01</v>
      </c>
      <c r="M812" s="107">
        <f t="shared" si="16"/>
        <v>76</v>
      </c>
      <c r="N812" s="76" t="s">
        <v>519</v>
      </c>
      <c r="O812" s="112">
        <v>46084</v>
      </c>
      <c r="V812" s="32">
        <v>68.8</v>
      </c>
    </row>
    <row r="813" s="32" customFormat="1" ht="15" spans="1:22">
      <c r="A813" s="44">
        <v>588</v>
      </c>
      <c r="B813" s="44" t="s">
        <v>1423</v>
      </c>
      <c r="C813" s="44" t="s">
        <v>508</v>
      </c>
      <c r="D813" s="111" t="s">
        <v>1467</v>
      </c>
      <c r="E813" s="44" t="s">
        <v>129</v>
      </c>
      <c r="F813" s="93" t="s">
        <v>1468</v>
      </c>
      <c r="G813" s="93" t="s">
        <v>1472</v>
      </c>
      <c r="H813" s="93">
        <v>3</v>
      </c>
      <c r="I813" s="93"/>
      <c r="K813" s="95">
        <v>55</v>
      </c>
      <c r="L813" s="79">
        <v>0.01</v>
      </c>
      <c r="M813" s="107">
        <f t="shared" si="16"/>
        <v>165</v>
      </c>
      <c r="N813" s="76" t="s">
        <v>519</v>
      </c>
      <c r="O813" s="112">
        <v>46084</v>
      </c>
      <c r="V813" s="32">
        <v>161.69</v>
      </c>
    </row>
    <row r="814" s="32" customFormat="1" ht="15" spans="1:22">
      <c r="A814" s="44">
        <v>589</v>
      </c>
      <c r="B814" s="44" t="s">
        <v>1423</v>
      </c>
      <c r="C814" s="44" t="s">
        <v>508</v>
      </c>
      <c r="D814" s="111" t="s">
        <v>1467</v>
      </c>
      <c r="E814" s="44" t="s">
        <v>129</v>
      </c>
      <c r="F814" s="93" t="s">
        <v>538</v>
      </c>
      <c r="G814" s="93" t="s">
        <v>1473</v>
      </c>
      <c r="H814" s="93">
        <v>2</v>
      </c>
      <c r="I814" s="93"/>
      <c r="K814" s="95">
        <v>30</v>
      </c>
      <c r="L814" s="79">
        <v>0.01</v>
      </c>
      <c r="M814" s="107">
        <f t="shared" si="16"/>
        <v>60</v>
      </c>
      <c r="N814" s="76" t="s">
        <v>519</v>
      </c>
      <c r="O814" s="112">
        <v>46084</v>
      </c>
      <c r="V814" s="32">
        <v>50</v>
      </c>
    </row>
    <row r="815" s="32" customFormat="1" ht="15" spans="1:22">
      <c r="A815" s="44">
        <v>590</v>
      </c>
      <c r="B815" s="44" t="s">
        <v>1423</v>
      </c>
      <c r="C815" s="44" t="s">
        <v>508</v>
      </c>
      <c r="D815" s="111" t="s">
        <v>1467</v>
      </c>
      <c r="E815" s="44" t="s">
        <v>129</v>
      </c>
      <c r="F815" s="93" t="s">
        <v>538</v>
      </c>
      <c r="G815" s="93" t="s">
        <v>1474</v>
      </c>
      <c r="H815" s="93">
        <v>1</v>
      </c>
      <c r="I815" s="93"/>
      <c r="K815" s="95">
        <v>45</v>
      </c>
      <c r="L815" s="79">
        <v>0.01</v>
      </c>
      <c r="M815" s="107">
        <f t="shared" si="16"/>
        <v>45</v>
      </c>
      <c r="N815" s="76" t="s">
        <v>519</v>
      </c>
      <c r="O815" s="112">
        <v>46084</v>
      </c>
      <c r="V815" s="32">
        <v>40.09</v>
      </c>
    </row>
    <row r="816" s="32" customFormat="1" ht="27.4" customHeight="1" spans="1:22">
      <c r="A816" s="44">
        <v>591</v>
      </c>
      <c r="B816" s="44" t="s">
        <v>1406</v>
      </c>
      <c r="C816" s="44" t="s">
        <v>1475</v>
      </c>
      <c r="D816" s="111" t="s">
        <v>1476</v>
      </c>
      <c r="E816" s="44" t="s">
        <v>129</v>
      </c>
      <c r="F816" s="93" t="s">
        <v>1477</v>
      </c>
      <c r="G816" s="93" t="s">
        <v>1478</v>
      </c>
      <c r="H816" s="93">
        <v>1</v>
      </c>
      <c r="I816" s="93"/>
      <c r="K816" s="95">
        <v>37</v>
      </c>
      <c r="L816" s="79">
        <v>0.01</v>
      </c>
      <c r="M816" s="107">
        <f t="shared" si="16"/>
        <v>37</v>
      </c>
      <c r="N816" s="76" t="s">
        <v>519</v>
      </c>
      <c r="O816" s="112">
        <v>46084</v>
      </c>
      <c r="V816" s="32">
        <v>24.5</v>
      </c>
    </row>
    <row r="817" s="32" customFormat="1" ht="15.5" spans="1:22">
      <c r="A817" s="44">
        <v>592</v>
      </c>
      <c r="B817" s="44" t="s">
        <v>1406</v>
      </c>
      <c r="C817" s="44" t="s">
        <v>1475</v>
      </c>
      <c r="D817" s="111" t="s">
        <v>1476</v>
      </c>
      <c r="E817" s="44" t="s">
        <v>129</v>
      </c>
      <c r="F817" s="93" t="s">
        <v>1479</v>
      </c>
      <c r="G817" s="93" t="s">
        <v>1478</v>
      </c>
      <c r="H817" s="93">
        <v>1</v>
      </c>
      <c r="I817" s="93"/>
      <c r="K817" s="95">
        <v>158</v>
      </c>
      <c r="L817" s="79">
        <v>0.01</v>
      </c>
      <c r="M817" s="107">
        <f t="shared" si="16"/>
        <v>158</v>
      </c>
      <c r="N817" s="76" t="s">
        <v>519</v>
      </c>
      <c r="O817" s="112">
        <v>46084</v>
      </c>
      <c r="V817" s="32">
        <v>137.9</v>
      </c>
    </row>
    <row r="818" s="32" customFormat="1" ht="15" spans="1:22">
      <c r="A818" s="44">
        <v>593</v>
      </c>
      <c r="B818" s="44" t="s">
        <v>1423</v>
      </c>
      <c r="C818" s="44" t="s">
        <v>508</v>
      </c>
      <c r="D818" s="111" t="s">
        <v>1467</v>
      </c>
      <c r="E818" s="44" t="s">
        <v>129</v>
      </c>
      <c r="F818" s="93" t="s">
        <v>1480</v>
      </c>
      <c r="G818" s="96" t="s">
        <v>1481</v>
      </c>
      <c r="H818" s="96">
        <v>3</v>
      </c>
      <c r="I818" s="96"/>
      <c r="K818" s="106">
        <v>55</v>
      </c>
      <c r="L818" s="79">
        <v>0.01</v>
      </c>
      <c r="M818" s="107">
        <f t="shared" si="16"/>
        <v>165</v>
      </c>
      <c r="N818" s="76" t="s">
        <v>519</v>
      </c>
      <c r="O818" s="113">
        <v>46084</v>
      </c>
    </row>
    <row r="819" s="32" customFormat="1" ht="25.15" customHeight="1" spans="1:22">
      <c r="A819" s="44">
        <v>594</v>
      </c>
      <c r="B819" s="44" t="s">
        <v>1419</v>
      </c>
      <c r="C819" s="44" t="s">
        <v>1475</v>
      </c>
      <c r="D819" s="44" t="s">
        <v>1482</v>
      </c>
      <c r="E819" s="44" t="s">
        <v>129</v>
      </c>
      <c r="F819" s="44" t="s">
        <v>1483</v>
      </c>
      <c r="G819" s="111" t="s">
        <v>1228</v>
      </c>
      <c r="H819" s="46">
        <v>1</v>
      </c>
      <c r="I819" s="46" t="s">
        <v>469</v>
      </c>
      <c r="J819" s="112">
        <v>46080</v>
      </c>
      <c r="K819" s="87">
        <v>201.6</v>
      </c>
      <c r="L819" s="49">
        <v>0.01</v>
      </c>
      <c r="M819" s="87">
        <v>201.6</v>
      </c>
      <c r="N819" s="46" t="s">
        <v>312</v>
      </c>
      <c r="O819" s="112">
        <v>46087</v>
      </c>
      <c r="P819" s="53" t="s">
        <v>1484</v>
      </c>
      <c r="Q819" s="44" t="s">
        <v>513</v>
      </c>
      <c r="R819" s="112">
        <v>46085</v>
      </c>
      <c r="S819" s="44"/>
      <c r="T819" s="44"/>
      <c r="U819" s="44"/>
      <c r="V819" s="44">
        <v>201.6</v>
      </c>
    </row>
    <row r="820" s="32" customFormat="1" ht="34.5" customHeight="1" spans="1:22">
      <c r="A820" s="44">
        <v>595</v>
      </c>
      <c r="B820" s="44" t="s">
        <v>1406</v>
      </c>
      <c r="C820" s="44" t="s">
        <v>1475</v>
      </c>
      <c r="D820" s="44" t="s">
        <v>1476</v>
      </c>
      <c r="E820" s="44" t="s">
        <v>129</v>
      </c>
      <c r="F820" s="111" t="s">
        <v>1485</v>
      </c>
      <c r="G820" s="114">
        <v>0.99</v>
      </c>
      <c r="H820" s="65">
        <v>1</v>
      </c>
      <c r="I820" s="65" t="s">
        <v>469</v>
      </c>
      <c r="J820" s="112">
        <v>46092</v>
      </c>
      <c r="K820" s="87">
        <v>206.5</v>
      </c>
      <c r="L820" s="49">
        <v>0.01</v>
      </c>
      <c r="M820" s="87">
        <v>201.6</v>
      </c>
      <c r="N820" s="46" t="s">
        <v>312</v>
      </c>
      <c r="O820" s="112">
        <v>46081</v>
      </c>
      <c r="P820" s="53" t="s">
        <v>1486</v>
      </c>
      <c r="Q820" s="44" t="s">
        <v>513</v>
      </c>
      <c r="R820" s="112">
        <v>46082</v>
      </c>
      <c r="S820" s="44"/>
      <c r="T820" s="44"/>
      <c r="U820" s="44"/>
      <c r="V820" s="44">
        <v>206.5</v>
      </c>
    </row>
    <row r="821" s="32" customFormat="1" ht="25.15" customHeight="1" spans="1:22">
      <c r="A821" s="44">
        <v>596</v>
      </c>
      <c r="B821" s="76" t="s">
        <v>1421</v>
      </c>
      <c r="C821" s="76" t="s">
        <v>1487</v>
      </c>
      <c r="D821" s="77" t="s">
        <v>1488</v>
      </c>
      <c r="E821" s="76" t="s">
        <v>129</v>
      </c>
      <c r="F821" s="73" t="s">
        <v>1489</v>
      </c>
      <c r="G821" s="65" t="s">
        <v>1490</v>
      </c>
      <c r="H821" s="65">
        <v>104</v>
      </c>
      <c r="I821" s="65" t="s">
        <v>131</v>
      </c>
      <c r="J821" s="112">
        <v>46085</v>
      </c>
      <c r="K821" s="87">
        <v>10.2</v>
      </c>
      <c r="L821" s="49">
        <v>0.13</v>
      </c>
      <c r="M821" s="87">
        <f t="shared" ref="M821:M828" si="17">H821*K821</f>
        <v>1060.8</v>
      </c>
      <c r="N821" s="46" t="s">
        <v>477</v>
      </c>
      <c r="O821" s="112">
        <v>46087</v>
      </c>
      <c r="P821" s="53" t="s">
        <v>1491</v>
      </c>
      <c r="Q821" s="44" t="s">
        <v>513</v>
      </c>
      <c r="R821" s="112">
        <v>46090</v>
      </c>
      <c r="S821" s="44"/>
      <c r="T821" s="44"/>
      <c r="U821" s="44"/>
      <c r="V821" s="44"/>
    </row>
    <row r="822" s="32" customFormat="1" ht="25.15" customHeight="1" spans="1:22">
      <c r="A822" s="44">
        <v>597</v>
      </c>
      <c r="B822" s="82"/>
      <c r="C822" s="82"/>
      <c r="D822" s="83"/>
      <c r="E822" s="82"/>
      <c r="F822" s="73" t="s">
        <v>1492</v>
      </c>
      <c r="G822" s="63" t="s">
        <v>1490</v>
      </c>
      <c r="H822" s="65">
        <v>104</v>
      </c>
      <c r="I822" s="65" t="s">
        <v>131</v>
      </c>
      <c r="J822" s="112">
        <v>46085</v>
      </c>
      <c r="K822" s="87">
        <v>30</v>
      </c>
      <c r="L822" s="49">
        <v>0.13</v>
      </c>
      <c r="M822" s="87">
        <f t="shared" si="17"/>
        <v>3120</v>
      </c>
      <c r="N822" s="46"/>
      <c r="O822" s="112"/>
      <c r="P822" s="53" t="s">
        <v>1491</v>
      </c>
      <c r="Q822" s="44" t="s">
        <v>513</v>
      </c>
      <c r="R822" s="112">
        <v>46090</v>
      </c>
      <c r="S822" s="44"/>
      <c r="T822" s="44"/>
      <c r="U822" s="44"/>
      <c r="V822" s="44"/>
    </row>
    <row r="823" s="32" customFormat="1" ht="47.85" customHeight="1" spans="1:22">
      <c r="A823" s="44">
        <v>598</v>
      </c>
      <c r="B823" s="44" t="s">
        <v>1493</v>
      </c>
      <c r="C823" s="44" t="s">
        <v>1494</v>
      </c>
      <c r="D823" s="44" t="s">
        <v>1495</v>
      </c>
      <c r="E823" s="76" t="s">
        <v>129</v>
      </c>
      <c r="F823" s="73" t="s">
        <v>1496</v>
      </c>
      <c r="G823" s="63" t="s">
        <v>1497</v>
      </c>
      <c r="H823" s="65">
        <v>1</v>
      </c>
      <c r="I823" s="65" t="s">
        <v>46</v>
      </c>
      <c r="J823" s="112">
        <v>46085</v>
      </c>
      <c r="K823" s="87">
        <v>700</v>
      </c>
      <c r="L823" s="49">
        <v>0.13</v>
      </c>
      <c r="M823" s="87">
        <f t="shared" si="17"/>
        <v>700</v>
      </c>
      <c r="N823" s="115" t="s">
        <v>1498</v>
      </c>
      <c r="O823" s="112">
        <v>46087</v>
      </c>
      <c r="P823" s="53" t="s">
        <v>1499</v>
      </c>
      <c r="Q823" s="44" t="s">
        <v>1500</v>
      </c>
      <c r="R823" s="112">
        <v>46091</v>
      </c>
      <c r="S823" s="44" t="s">
        <v>1501</v>
      </c>
      <c r="T823" s="44" t="s">
        <v>1502</v>
      </c>
      <c r="U823" s="44"/>
      <c r="V823" s="44"/>
    </row>
    <row r="824" s="32" customFormat="1" ht="47.85" customHeight="1" spans="1:22">
      <c r="A824" s="44">
        <v>599</v>
      </c>
      <c r="B824" s="44" t="s">
        <v>1406</v>
      </c>
      <c r="C824" s="44" t="s">
        <v>1475</v>
      </c>
      <c r="D824" s="44" t="s">
        <v>1476</v>
      </c>
      <c r="E824" s="76" t="s">
        <v>129</v>
      </c>
      <c r="F824" s="74" t="s">
        <v>1503</v>
      </c>
      <c r="G824" s="65" t="s">
        <v>1228</v>
      </c>
      <c r="H824" s="65">
        <v>1</v>
      </c>
      <c r="I824" s="65" t="s">
        <v>469</v>
      </c>
      <c r="J824" s="112">
        <v>46083</v>
      </c>
      <c r="K824" s="87">
        <v>105</v>
      </c>
      <c r="L824" s="49">
        <v>0.01</v>
      </c>
      <c r="M824" s="87">
        <f t="shared" si="17"/>
        <v>105</v>
      </c>
      <c r="N824" s="46" t="s">
        <v>312</v>
      </c>
      <c r="O824" s="112">
        <v>46087</v>
      </c>
      <c r="P824" s="53" t="s">
        <v>1484</v>
      </c>
      <c r="Q824" s="44" t="s">
        <v>513</v>
      </c>
      <c r="R824" s="112">
        <v>46090</v>
      </c>
      <c r="S824" s="44"/>
      <c r="T824" s="44"/>
      <c r="U824" s="44"/>
      <c r="V824" s="44">
        <v>138.4</v>
      </c>
    </row>
    <row r="825" s="32" customFormat="1" ht="47.85" customHeight="1" spans="1:22">
      <c r="A825" s="44">
        <v>600</v>
      </c>
      <c r="B825" s="44" t="s">
        <v>1409</v>
      </c>
      <c r="C825" s="44" t="s">
        <v>1504</v>
      </c>
      <c r="D825" s="44" t="s">
        <v>1505</v>
      </c>
      <c r="E825" s="76" t="s">
        <v>129</v>
      </c>
      <c r="F825" s="73" t="s">
        <v>1506</v>
      </c>
      <c r="G825" s="65" t="s">
        <v>1507</v>
      </c>
      <c r="H825" s="65">
        <v>1</v>
      </c>
      <c r="I825" s="65" t="s">
        <v>202</v>
      </c>
      <c r="J825" s="112">
        <v>46089</v>
      </c>
      <c r="K825" s="107">
        <v>140</v>
      </c>
      <c r="L825" s="79">
        <v>0.13</v>
      </c>
      <c r="M825" s="107">
        <f t="shared" si="17"/>
        <v>140</v>
      </c>
      <c r="N825" s="115" t="s">
        <v>1508</v>
      </c>
      <c r="O825" s="113">
        <v>46090</v>
      </c>
      <c r="P825" s="81" t="s">
        <v>1509</v>
      </c>
      <c r="Q825" s="76" t="s">
        <v>1510</v>
      </c>
      <c r="R825" s="113">
        <v>46093</v>
      </c>
      <c r="S825" s="76" t="s">
        <v>1501</v>
      </c>
      <c r="T825" s="76" t="s">
        <v>1502</v>
      </c>
      <c r="U825" s="76"/>
      <c r="V825" s="76"/>
    </row>
    <row r="826" s="32" customFormat="1" ht="47.85" customHeight="1" spans="1:22">
      <c r="A826" s="44">
        <v>601</v>
      </c>
      <c r="B826" s="44" t="s">
        <v>1419</v>
      </c>
      <c r="C826" s="44" t="s">
        <v>1504</v>
      </c>
      <c r="D826" s="44" t="s">
        <v>1505</v>
      </c>
      <c r="E826" s="76" t="s">
        <v>129</v>
      </c>
      <c r="F826" s="73" t="s">
        <v>1511</v>
      </c>
      <c r="G826" s="65" t="s">
        <v>1512</v>
      </c>
      <c r="H826" s="65">
        <v>1</v>
      </c>
      <c r="I826" s="65" t="s">
        <v>316</v>
      </c>
      <c r="J826" s="112">
        <v>46093</v>
      </c>
      <c r="K826" s="87">
        <v>480</v>
      </c>
      <c r="L826" s="49">
        <v>0.13</v>
      </c>
      <c r="M826" s="87">
        <f t="shared" si="17"/>
        <v>480</v>
      </c>
      <c r="N826" s="46" t="s">
        <v>300</v>
      </c>
      <c r="O826" s="112">
        <v>46091</v>
      </c>
      <c r="P826" s="53" t="s">
        <v>1513</v>
      </c>
      <c r="Q826" s="44" t="s">
        <v>513</v>
      </c>
      <c r="R826" s="112">
        <v>46093</v>
      </c>
      <c r="S826" s="44"/>
      <c r="T826" s="44"/>
      <c r="U826" s="44"/>
      <c r="V826" s="44"/>
    </row>
    <row r="827" s="32" customFormat="1" ht="47.85" customHeight="1" spans="1:22">
      <c r="A827" s="44">
        <v>602</v>
      </c>
      <c r="B827" s="44" t="s">
        <v>1465</v>
      </c>
      <c r="C827" s="44" t="s">
        <v>1514</v>
      </c>
      <c r="D827" s="44" t="s">
        <v>1515</v>
      </c>
      <c r="E827" s="76" t="s">
        <v>129</v>
      </c>
      <c r="F827" s="74" t="s">
        <v>383</v>
      </c>
      <c r="G827" s="63" t="s">
        <v>384</v>
      </c>
      <c r="H827" s="65">
        <v>48</v>
      </c>
      <c r="I827" s="65" t="s">
        <v>109</v>
      </c>
      <c r="J827" s="112">
        <v>46091</v>
      </c>
      <c r="K827" s="87">
        <v>40</v>
      </c>
      <c r="L827" s="49">
        <v>0.13</v>
      </c>
      <c r="M827" s="87">
        <f t="shared" si="17"/>
        <v>1920</v>
      </c>
      <c r="N827" s="44" t="s">
        <v>271</v>
      </c>
      <c r="O827" s="112">
        <v>46091</v>
      </c>
      <c r="P827" s="116" t="s">
        <v>1516</v>
      </c>
      <c r="Q827" s="44" t="s">
        <v>513</v>
      </c>
      <c r="R827" s="112">
        <v>46095</v>
      </c>
      <c r="S827" s="44"/>
      <c r="T827" s="44"/>
      <c r="U827" s="44"/>
      <c r="V827" s="44"/>
    </row>
    <row r="828" s="32" customFormat="1" ht="47.85" customHeight="1" spans="1:22">
      <c r="A828" s="44">
        <v>603</v>
      </c>
      <c r="B828" s="44" t="s">
        <v>1465</v>
      </c>
      <c r="C828" s="111" t="s">
        <v>1517</v>
      </c>
      <c r="D828" s="44" t="s">
        <v>1495</v>
      </c>
      <c r="E828" s="76" t="s">
        <v>129</v>
      </c>
      <c r="F828" s="73" t="s">
        <v>363</v>
      </c>
      <c r="G828" s="65"/>
      <c r="H828" s="65">
        <v>48</v>
      </c>
      <c r="I828" s="65" t="s">
        <v>109</v>
      </c>
      <c r="J828" s="117">
        <v>46091</v>
      </c>
      <c r="K828" s="87">
        <v>14</v>
      </c>
      <c r="L828" s="49">
        <v>0.13</v>
      </c>
      <c r="M828" s="87">
        <f t="shared" si="17"/>
        <v>672</v>
      </c>
      <c r="N828" s="44" t="s">
        <v>364</v>
      </c>
      <c r="O828" s="113">
        <v>46091</v>
      </c>
      <c r="P828" s="116" t="s">
        <v>1518</v>
      </c>
      <c r="Q828" s="44" t="s">
        <v>513</v>
      </c>
      <c r="R828" s="112">
        <v>46108</v>
      </c>
      <c r="S828" s="44"/>
      <c r="T828" s="44"/>
      <c r="U828" s="44"/>
      <c r="V828" s="44"/>
    </row>
    <row r="829" s="32" customFormat="1" ht="47.85" customHeight="1" spans="1:22">
      <c r="A829" s="44">
        <v>604</v>
      </c>
      <c r="B829" s="44" t="s">
        <v>1406</v>
      </c>
      <c r="C829" s="44" t="s">
        <v>1475</v>
      </c>
      <c r="D829" s="44" t="s">
        <v>1476</v>
      </c>
      <c r="E829" s="76" t="s">
        <v>129</v>
      </c>
      <c r="F829" s="73" t="s">
        <v>1519</v>
      </c>
      <c r="G829" s="65" t="s">
        <v>1228</v>
      </c>
      <c r="H829" s="65">
        <v>1</v>
      </c>
      <c r="I829" s="65" t="s">
        <v>469</v>
      </c>
      <c r="J829" s="117">
        <v>46091</v>
      </c>
      <c r="K829" s="62">
        <v>26.6</v>
      </c>
      <c r="L829" s="49">
        <v>0.01</v>
      </c>
      <c r="M829" s="87">
        <f t="shared" ref="M829:M835" si="18">H829*K829</f>
        <v>26.6</v>
      </c>
      <c r="N829" s="44" t="s">
        <v>312</v>
      </c>
      <c r="O829" s="112">
        <v>46092</v>
      </c>
      <c r="P829" s="53" t="s">
        <v>1520</v>
      </c>
      <c r="Q829" s="44" t="s">
        <v>513</v>
      </c>
      <c r="R829" s="112">
        <v>46093</v>
      </c>
      <c r="S829" s="44"/>
      <c r="T829" s="44"/>
      <c r="U829" s="44"/>
      <c r="V829" s="44">
        <v>26.6</v>
      </c>
    </row>
    <row r="830" s="32" customFormat="1" ht="47.85" customHeight="1" spans="1:22">
      <c r="A830" s="44">
        <v>605</v>
      </c>
      <c r="B830" s="44" t="s">
        <v>1521</v>
      </c>
      <c r="C830" s="44" t="s">
        <v>1475</v>
      </c>
      <c r="D830" s="44" t="s">
        <v>1522</v>
      </c>
      <c r="E830" s="76" t="s">
        <v>129</v>
      </c>
      <c r="F830" s="73" t="s">
        <v>1523</v>
      </c>
      <c r="G830" s="63" t="s">
        <v>1478</v>
      </c>
      <c r="H830" s="65">
        <v>1</v>
      </c>
      <c r="I830" s="65" t="s">
        <v>469</v>
      </c>
      <c r="J830" s="112">
        <v>46093</v>
      </c>
      <c r="K830" s="72">
        <v>101.5</v>
      </c>
      <c r="L830" s="49">
        <v>0.01</v>
      </c>
      <c r="M830" s="87">
        <f t="shared" si="18"/>
        <v>101.5</v>
      </c>
      <c r="N830" s="44"/>
      <c r="O830" s="112"/>
      <c r="P830" s="53"/>
      <c r="Q830" s="44" t="s">
        <v>513</v>
      </c>
      <c r="R830" s="112"/>
      <c r="S830" s="44"/>
      <c r="T830" s="44"/>
      <c r="U830" s="44"/>
      <c r="V830" s="44">
        <v>102.95</v>
      </c>
    </row>
    <row r="831" s="32" customFormat="1" ht="46.9" customHeight="1" spans="1:22">
      <c r="A831" s="44">
        <v>606</v>
      </c>
      <c r="B831" s="44" t="s">
        <v>1521</v>
      </c>
      <c r="C831" s="44" t="s">
        <v>1475</v>
      </c>
      <c r="D831" s="44" t="s">
        <v>1522</v>
      </c>
      <c r="E831" s="76" t="s">
        <v>129</v>
      </c>
      <c r="F831" s="74" t="s">
        <v>1524</v>
      </c>
      <c r="G831" s="63" t="s">
        <v>1478</v>
      </c>
      <c r="H831" s="65">
        <v>1</v>
      </c>
      <c r="I831" s="65" t="s">
        <v>469</v>
      </c>
      <c r="J831" s="112">
        <v>46093</v>
      </c>
      <c r="K831" s="72">
        <v>77.7</v>
      </c>
      <c r="L831" s="49">
        <v>0.01</v>
      </c>
      <c r="M831" s="87">
        <f t="shared" si="18"/>
        <v>77.7</v>
      </c>
      <c r="N831" s="44"/>
      <c r="O831" s="112"/>
      <c r="P831" s="53"/>
      <c r="Q831" s="44" t="s">
        <v>513</v>
      </c>
      <c r="R831" s="112"/>
      <c r="S831" s="44"/>
      <c r="T831" s="44"/>
      <c r="U831" s="44"/>
      <c r="V831" s="44">
        <v>111</v>
      </c>
    </row>
    <row r="832" s="32" customFormat="1" ht="25.15" customHeight="1" spans="1:22">
      <c r="A832" s="44">
        <v>607</v>
      </c>
      <c r="B832" s="44" t="s">
        <v>1419</v>
      </c>
      <c r="C832" s="44" t="s">
        <v>1475</v>
      </c>
      <c r="D832" s="44" t="s">
        <v>1525</v>
      </c>
      <c r="E832" s="76" t="s">
        <v>129</v>
      </c>
      <c r="F832" s="73" t="s">
        <v>1526</v>
      </c>
      <c r="G832" s="65" t="s">
        <v>777</v>
      </c>
      <c r="H832" s="65">
        <v>2</v>
      </c>
      <c r="I832" s="65" t="s">
        <v>469</v>
      </c>
      <c r="J832" s="112">
        <v>46097</v>
      </c>
      <c r="K832" s="62">
        <v>39.2</v>
      </c>
      <c r="L832" s="49">
        <v>0.01</v>
      </c>
      <c r="M832" s="87">
        <f t="shared" si="18"/>
        <v>78.4</v>
      </c>
      <c r="N832" s="44" t="s">
        <v>312</v>
      </c>
      <c r="O832" s="112">
        <v>46093</v>
      </c>
      <c r="P832" s="116" t="s">
        <v>1527</v>
      </c>
      <c r="Q832" s="44" t="s">
        <v>513</v>
      </c>
      <c r="R832" s="118">
        <v>46094</v>
      </c>
      <c r="S832" s="44"/>
      <c r="T832" s="44"/>
      <c r="U832" s="44"/>
      <c r="V832" s="44">
        <v>41.6</v>
      </c>
    </row>
    <row r="833" s="32" customFormat="1" ht="25.15" customHeight="1" spans="1:22">
      <c r="A833" s="44">
        <v>608</v>
      </c>
      <c r="B833" s="44" t="s">
        <v>1419</v>
      </c>
      <c r="C833" s="44" t="s">
        <v>1475</v>
      </c>
      <c r="D833" s="44" t="s">
        <v>1525</v>
      </c>
      <c r="E833" s="76" t="s">
        <v>129</v>
      </c>
      <c r="F833" s="73" t="s">
        <v>1528</v>
      </c>
      <c r="G833" s="65" t="s">
        <v>777</v>
      </c>
      <c r="H833" s="65">
        <v>2</v>
      </c>
      <c r="I833" s="65" t="s">
        <v>469</v>
      </c>
      <c r="J833" s="112">
        <v>46097</v>
      </c>
      <c r="K833" s="119">
        <v>32.2</v>
      </c>
      <c r="L833" s="79">
        <v>0.01</v>
      </c>
      <c r="M833" s="107">
        <f t="shared" si="18"/>
        <v>64.4</v>
      </c>
      <c r="N833" s="44" t="s">
        <v>312</v>
      </c>
      <c r="O833" s="113">
        <v>46093</v>
      </c>
      <c r="P833" s="116" t="s">
        <v>1527</v>
      </c>
      <c r="Q833" s="76" t="s">
        <v>513</v>
      </c>
      <c r="R833" s="118">
        <v>46094</v>
      </c>
      <c r="S833" s="76"/>
      <c r="T833" s="76"/>
      <c r="U833" s="76"/>
      <c r="V833" s="76">
        <v>32.66</v>
      </c>
    </row>
    <row r="834" s="32" customFormat="1" ht="25.15" customHeight="1" spans="1:22">
      <c r="A834" s="44">
        <v>609</v>
      </c>
      <c r="B834" s="44" t="s">
        <v>1493</v>
      </c>
      <c r="C834" s="44" t="s">
        <v>1529</v>
      </c>
      <c r="D834" s="44" t="s">
        <v>1530</v>
      </c>
      <c r="E834" s="76" t="s">
        <v>129</v>
      </c>
      <c r="F834" s="73" t="s">
        <v>1529</v>
      </c>
      <c r="G834" s="65" t="s">
        <v>1529</v>
      </c>
      <c r="H834" s="120">
        <v>1</v>
      </c>
      <c r="I834" s="120" t="s">
        <v>46</v>
      </c>
      <c r="J834" s="113">
        <v>46097</v>
      </c>
      <c r="K834" s="107">
        <v>5000</v>
      </c>
      <c r="L834" s="79">
        <v>0.13</v>
      </c>
      <c r="M834" s="107">
        <f t="shared" si="18"/>
        <v>5000</v>
      </c>
      <c r="N834" s="44" t="s">
        <v>400</v>
      </c>
      <c r="O834" s="113">
        <v>46093</v>
      </c>
      <c r="P834" s="81" t="s">
        <v>1531</v>
      </c>
      <c r="Q834" s="76" t="s">
        <v>513</v>
      </c>
      <c r="R834" s="118">
        <v>46108</v>
      </c>
      <c r="S834" s="67" t="s">
        <v>402</v>
      </c>
      <c r="T834" s="121">
        <v>26.5</v>
      </c>
      <c r="U834" s="76"/>
      <c r="V834" s="76"/>
    </row>
    <row r="835" s="32" customFormat="1" spans="1:22">
      <c r="A835" s="44">
        <v>610</v>
      </c>
      <c r="B835" s="44" t="s">
        <v>1442</v>
      </c>
      <c r="C835" s="44" t="s">
        <v>1532</v>
      </c>
      <c r="D835" s="111" t="s">
        <v>1533</v>
      </c>
      <c r="E835" s="76" t="s">
        <v>129</v>
      </c>
      <c r="F835" s="73" t="s">
        <v>1534</v>
      </c>
      <c r="G835" s="65" t="s">
        <v>1535</v>
      </c>
      <c r="H835" s="65">
        <v>1</v>
      </c>
      <c r="I835" s="65" t="s">
        <v>1536</v>
      </c>
      <c r="J835" s="113">
        <v>46108</v>
      </c>
      <c r="K835" s="87">
        <v>230</v>
      </c>
      <c r="L835" s="79">
        <v>0.13</v>
      </c>
      <c r="M835" s="107">
        <f t="shared" si="18"/>
        <v>230</v>
      </c>
      <c r="N835" s="44" t="s">
        <v>1537</v>
      </c>
      <c r="O835" s="113">
        <v>46094</v>
      </c>
      <c r="P835" s="53" t="s">
        <v>1538</v>
      </c>
      <c r="Q835" s="76" t="s">
        <v>513</v>
      </c>
      <c r="R835" s="118">
        <v>46108</v>
      </c>
      <c r="S835" s="44" t="s">
        <v>1501</v>
      </c>
      <c r="T835" s="44" t="s">
        <v>1539</v>
      </c>
      <c r="U835" s="44"/>
      <c r="V835" s="44"/>
    </row>
    <row r="836" s="32" customFormat="1" ht="25.15" customHeight="1" spans="1:22">
      <c r="A836" s="44">
        <v>611</v>
      </c>
      <c r="B836" s="44" t="s">
        <v>1409</v>
      </c>
      <c r="C836" s="44" t="s">
        <v>1540</v>
      </c>
      <c r="D836" s="44" t="s">
        <v>1505</v>
      </c>
      <c r="E836" s="76" t="s">
        <v>129</v>
      </c>
      <c r="F836" s="73" t="s">
        <v>1541</v>
      </c>
      <c r="G836" s="63" t="s">
        <v>1542</v>
      </c>
      <c r="H836" s="65">
        <v>1</v>
      </c>
      <c r="I836" s="65" t="s">
        <v>46</v>
      </c>
      <c r="J836" s="113">
        <v>46100</v>
      </c>
      <c r="K836" s="87">
        <v>800</v>
      </c>
      <c r="L836" s="79">
        <v>0.13</v>
      </c>
      <c r="M836" s="107">
        <f t="shared" ref="M836:M837" si="19">H836*K836</f>
        <v>800</v>
      </c>
      <c r="N836" s="44" t="s">
        <v>1543</v>
      </c>
      <c r="O836" s="113">
        <v>46094</v>
      </c>
      <c r="P836" s="53" t="s">
        <v>1544</v>
      </c>
      <c r="Q836" s="76" t="s">
        <v>1510</v>
      </c>
      <c r="R836" s="118">
        <v>46097</v>
      </c>
      <c r="S836" s="76" t="s">
        <v>1501</v>
      </c>
      <c r="T836" s="76" t="s">
        <v>1502</v>
      </c>
      <c r="U836" s="44"/>
      <c r="V836" s="44"/>
    </row>
    <row r="837" s="32" customFormat="1" ht="25.15" customHeight="1" spans="1:22">
      <c r="A837" s="44">
        <v>612</v>
      </c>
      <c r="B837" s="44" t="s">
        <v>1417</v>
      </c>
      <c r="C837" s="44" t="s">
        <v>1532</v>
      </c>
      <c r="D837" s="44" t="s">
        <v>1545</v>
      </c>
      <c r="E837" s="76" t="s">
        <v>129</v>
      </c>
      <c r="F837" s="74" t="s">
        <v>1546</v>
      </c>
      <c r="G837" s="122"/>
      <c r="H837" s="65">
        <v>70</v>
      </c>
      <c r="I837" s="65"/>
      <c r="J837" s="113">
        <v>46098</v>
      </c>
      <c r="K837" s="87">
        <v>4.1</v>
      </c>
      <c r="L837" s="79">
        <v>0.13</v>
      </c>
      <c r="M837" s="87">
        <f t="shared" si="19"/>
        <v>287</v>
      </c>
      <c r="N837" s="44" t="s">
        <v>1547</v>
      </c>
      <c r="O837" s="113">
        <v>46097</v>
      </c>
      <c r="P837" s="53" t="s">
        <v>1548</v>
      </c>
      <c r="Q837" s="76" t="s">
        <v>1510</v>
      </c>
      <c r="R837" s="118">
        <v>46104</v>
      </c>
      <c r="S837" s="44"/>
      <c r="T837" s="44"/>
      <c r="U837" s="44"/>
      <c r="V837" s="44"/>
    </row>
    <row r="838" s="32" customFormat="1" spans="1:22">
      <c r="A838" s="44">
        <v>613</v>
      </c>
      <c r="B838" s="44" t="s">
        <v>507</v>
      </c>
      <c r="C838" s="44" t="s">
        <v>24</v>
      </c>
      <c r="D838" s="44" t="s">
        <v>1549</v>
      </c>
      <c r="E838" s="44" t="s">
        <v>129</v>
      </c>
      <c r="F838" s="46" t="s">
        <v>1550</v>
      </c>
      <c r="G838" s="63" t="s">
        <v>1551</v>
      </c>
      <c r="H838" s="46">
        <v>20</v>
      </c>
      <c r="I838" s="46" t="s">
        <v>153</v>
      </c>
      <c r="J838" s="113">
        <v>46099</v>
      </c>
      <c r="K838" s="62">
        <v>75.5</v>
      </c>
      <c r="L838" s="49">
        <v>0.13</v>
      </c>
      <c r="M838" s="46">
        <f>K838*H838</f>
        <v>1510</v>
      </c>
      <c r="N838" s="44" t="s">
        <v>1552</v>
      </c>
      <c r="O838" s="123">
        <v>46092</v>
      </c>
      <c r="P838" s="53" t="s">
        <v>1553</v>
      </c>
      <c r="Q838" s="44" t="s">
        <v>513</v>
      </c>
      <c r="R838" s="44"/>
      <c r="S838" s="44"/>
      <c r="T838" s="44" t="s">
        <v>1502</v>
      </c>
      <c r="U838" s="44"/>
      <c r="V838" s="44"/>
    </row>
    <row r="839" s="32" customFormat="1" spans="1:22">
      <c r="A839" s="44">
        <v>614</v>
      </c>
      <c r="B839" s="44" t="s">
        <v>507</v>
      </c>
      <c r="C839" s="44" t="s">
        <v>24</v>
      </c>
      <c r="D839" s="44" t="s">
        <v>1549</v>
      </c>
      <c r="E839" s="44" t="s">
        <v>129</v>
      </c>
      <c r="F839" s="46" t="s">
        <v>1550</v>
      </c>
      <c r="G839" s="63" t="s">
        <v>1554</v>
      </c>
      <c r="H839" s="46">
        <v>20</v>
      </c>
      <c r="I839" s="46" t="s">
        <v>153</v>
      </c>
      <c r="J839" s="113">
        <v>46099</v>
      </c>
      <c r="K839" s="62">
        <v>3.4</v>
      </c>
      <c r="L839" s="49">
        <v>0.13</v>
      </c>
      <c r="M839" s="46">
        <f>K839*H839</f>
        <v>68</v>
      </c>
      <c r="N839" s="44" t="s">
        <v>1552</v>
      </c>
      <c r="O839" s="123">
        <v>46092</v>
      </c>
      <c r="P839" s="53" t="s">
        <v>1553</v>
      </c>
      <c r="Q839" s="44" t="s">
        <v>513</v>
      </c>
      <c r="R839" s="44"/>
      <c r="S839" s="44"/>
      <c r="T839" s="44" t="s">
        <v>1502</v>
      </c>
      <c r="U839" s="44"/>
      <c r="V839" s="44"/>
    </row>
    <row r="840" s="32" customFormat="1" ht="35.25" customHeight="1" spans="1:22">
      <c r="A840" s="44">
        <v>615</v>
      </c>
      <c r="B840" s="44" t="s">
        <v>1465</v>
      </c>
      <c r="C840" s="44" t="s">
        <v>24</v>
      </c>
      <c r="D840" s="44" t="s">
        <v>1555</v>
      </c>
      <c r="E840" s="44" t="s">
        <v>129</v>
      </c>
      <c r="F840" s="73" t="s">
        <v>1556</v>
      </c>
      <c r="G840" s="63" t="s">
        <v>1557</v>
      </c>
      <c r="H840" s="65">
        <v>50</v>
      </c>
      <c r="I840" s="65" t="s">
        <v>131</v>
      </c>
      <c r="J840" s="112">
        <v>46097</v>
      </c>
      <c r="K840" s="87">
        <v>43</v>
      </c>
      <c r="L840" s="49">
        <v>0.13</v>
      </c>
      <c r="M840" s="46">
        <f>K840*H840</f>
        <v>2150</v>
      </c>
      <c r="N840" s="44" t="s">
        <v>1558</v>
      </c>
      <c r="O840" s="123">
        <v>46097</v>
      </c>
      <c r="P840" s="53" t="s">
        <v>1559</v>
      </c>
      <c r="Q840" s="44" t="s">
        <v>513</v>
      </c>
      <c r="R840" s="118">
        <v>46100</v>
      </c>
      <c r="S840" s="44" t="s">
        <v>1560</v>
      </c>
      <c r="T840" s="44" t="s">
        <v>1539</v>
      </c>
      <c r="U840" s="44"/>
      <c r="V840" s="44">
        <v>2700</v>
      </c>
    </row>
    <row r="841" s="32" customFormat="1" ht="39.4" customHeight="1" spans="1:22">
      <c r="A841" s="44">
        <v>616</v>
      </c>
      <c r="B841" s="44" t="s">
        <v>1442</v>
      </c>
      <c r="C841" s="44" t="s">
        <v>508</v>
      </c>
      <c r="D841" s="111" t="s">
        <v>1561</v>
      </c>
      <c r="E841" s="44" t="s">
        <v>129</v>
      </c>
      <c r="F841" s="94" t="s">
        <v>1179</v>
      </c>
      <c r="G841" s="124" t="s">
        <v>1562</v>
      </c>
      <c r="H841" s="94">
        <v>10</v>
      </c>
      <c r="I841" s="94" t="s">
        <v>247</v>
      </c>
      <c r="J841" s="113">
        <v>46086</v>
      </c>
      <c r="K841" s="95">
        <v>3.3</v>
      </c>
      <c r="L841" s="49">
        <v>0.01</v>
      </c>
      <c r="M841" s="46">
        <f t="shared" ref="M841:M849" si="20">K841*H841</f>
        <v>33</v>
      </c>
      <c r="N841" s="44" t="s">
        <v>519</v>
      </c>
      <c r="O841" s="112">
        <v>46085</v>
      </c>
      <c r="P841" s="53"/>
      <c r="Q841" s="44" t="s">
        <v>513</v>
      </c>
      <c r="R841" s="118">
        <v>46086</v>
      </c>
      <c r="S841" s="44"/>
      <c r="T841" s="44"/>
      <c r="U841" s="44"/>
      <c r="V841" s="44">
        <v>31</v>
      </c>
    </row>
    <row r="842" s="32" customFormat="1" ht="25.15" customHeight="1" spans="1:22">
      <c r="A842" s="44">
        <v>617</v>
      </c>
      <c r="B842" s="44" t="s">
        <v>1442</v>
      </c>
      <c r="C842" s="44" t="s">
        <v>508</v>
      </c>
      <c r="D842" s="44" t="s">
        <v>1563</v>
      </c>
      <c r="E842" s="44" t="s">
        <v>129</v>
      </c>
      <c r="F842" s="94" t="s">
        <v>1564</v>
      </c>
      <c r="G842" s="124" t="s">
        <v>1565</v>
      </c>
      <c r="H842" s="94">
        <v>20</v>
      </c>
      <c r="I842" s="94" t="s">
        <v>518</v>
      </c>
      <c r="J842" s="113">
        <v>46090</v>
      </c>
      <c r="K842" s="95">
        <v>7.5</v>
      </c>
      <c r="L842" s="49">
        <v>0.01</v>
      </c>
      <c r="M842" s="46">
        <f t="shared" si="20"/>
        <v>150</v>
      </c>
      <c r="N842" s="44" t="s">
        <v>519</v>
      </c>
      <c r="O842" s="112">
        <v>46085</v>
      </c>
      <c r="P842" s="53"/>
      <c r="Q842" s="44" t="s">
        <v>513</v>
      </c>
      <c r="R842" s="118">
        <v>46090</v>
      </c>
      <c r="S842" s="44"/>
      <c r="T842" s="44"/>
      <c r="U842" s="44"/>
      <c r="V842" s="44">
        <v>136</v>
      </c>
    </row>
    <row r="843" s="32" customFormat="1" ht="34.15" customHeight="1" spans="1:22">
      <c r="A843" s="44">
        <v>618</v>
      </c>
      <c r="B843" s="44" t="s">
        <v>1423</v>
      </c>
      <c r="C843" s="44" t="s">
        <v>1566</v>
      </c>
      <c r="D843" s="125" t="s">
        <v>1567</v>
      </c>
      <c r="E843" s="44" t="s">
        <v>129</v>
      </c>
      <c r="F843" s="94" t="s">
        <v>1568</v>
      </c>
      <c r="G843" s="124" t="s">
        <v>1569</v>
      </c>
      <c r="H843" s="94">
        <v>1</v>
      </c>
      <c r="I843" s="94" t="s">
        <v>518</v>
      </c>
      <c r="J843" s="113">
        <v>46087</v>
      </c>
      <c r="K843" s="95">
        <v>90</v>
      </c>
      <c r="L843" s="49">
        <v>0.01</v>
      </c>
      <c r="M843" s="46">
        <f t="shared" si="20"/>
        <v>90</v>
      </c>
      <c r="N843" s="44" t="s">
        <v>519</v>
      </c>
      <c r="O843" s="112">
        <v>46085</v>
      </c>
      <c r="P843" s="53"/>
      <c r="Q843" s="44" t="s">
        <v>513</v>
      </c>
      <c r="R843" s="118">
        <v>46091</v>
      </c>
      <c r="S843" s="44"/>
      <c r="T843" s="44"/>
      <c r="U843" s="44"/>
      <c r="V843" s="44">
        <v>84.29</v>
      </c>
    </row>
    <row r="844" s="32" customFormat="1" ht="39.4" customHeight="1" spans="1:22">
      <c r="A844" s="44">
        <v>619</v>
      </c>
      <c r="B844" s="44" t="s">
        <v>1423</v>
      </c>
      <c r="C844" s="44" t="s">
        <v>1532</v>
      </c>
      <c r="D844" s="125" t="s">
        <v>1567</v>
      </c>
      <c r="E844" s="44" t="s">
        <v>129</v>
      </c>
      <c r="F844" s="94" t="s">
        <v>717</v>
      </c>
      <c r="G844" s="124" t="s">
        <v>1570</v>
      </c>
      <c r="H844" s="94">
        <v>1</v>
      </c>
      <c r="I844" s="94" t="s">
        <v>109</v>
      </c>
      <c r="J844" s="113">
        <v>46087</v>
      </c>
      <c r="K844" s="95">
        <v>90</v>
      </c>
      <c r="L844" s="49">
        <v>0.01</v>
      </c>
      <c r="M844" s="46">
        <f t="shared" si="20"/>
        <v>90</v>
      </c>
      <c r="N844" s="44" t="s">
        <v>519</v>
      </c>
      <c r="O844" s="112">
        <v>46085</v>
      </c>
      <c r="P844" s="53"/>
      <c r="Q844" s="44" t="s">
        <v>513</v>
      </c>
      <c r="R844" s="118">
        <v>46090</v>
      </c>
      <c r="S844" s="44"/>
      <c r="T844" s="44"/>
      <c r="U844" s="44"/>
      <c r="V844" s="44">
        <v>84.82</v>
      </c>
    </row>
    <row r="845" s="32" customFormat="1" spans="1:22">
      <c r="A845" s="44">
        <v>620</v>
      </c>
      <c r="B845" s="44" t="s">
        <v>1423</v>
      </c>
      <c r="C845" s="44" t="s">
        <v>1532</v>
      </c>
      <c r="D845" s="125" t="s">
        <v>1567</v>
      </c>
      <c r="E845" s="44" t="s">
        <v>129</v>
      </c>
      <c r="F845" s="94" t="s">
        <v>1571</v>
      </c>
      <c r="G845" s="124" t="s">
        <v>1572</v>
      </c>
      <c r="H845" s="94">
        <v>2</v>
      </c>
      <c r="I845" s="94" t="s">
        <v>247</v>
      </c>
      <c r="J845" s="113">
        <v>46087</v>
      </c>
      <c r="K845" s="95">
        <v>6</v>
      </c>
      <c r="L845" s="49">
        <v>0.01</v>
      </c>
      <c r="M845" s="46">
        <f t="shared" si="20"/>
        <v>12</v>
      </c>
      <c r="N845" s="44" t="s">
        <v>519</v>
      </c>
      <c r="O845" s="112">
        <v>46085</v>
      </c>
      <c r="P845" s="53"/>
      <c r="Q845" s="44" t="s">
        <v>513</v>
      </c>
      <c r="R845" s="118">
        <v>46090</v>
      </c>
      <c r="S845" s="44"/>
      <c r="T845" s="44"/>
      <c r="U845" s="44"/>
      <c r="V845" s="44">
        <v>8.8</v>
      </c>
    </row>
    <row r="846" s="32" customFormat="1" spans="1:22">
      <c r="A846" s="44">
        <v>621</v>
      </c>
      <c r="B846" s="44" t="s">
        <v>1423</v>
      </c>
      <c r="C846" s="44" t="s">
        <v>1532</v>
      </c>
      <c r="D846" s="125" t="s">
        <v>1567</v>
      </c>
      <c r="E846" s="44" t="s">
        <v>129</v>
      </c>
      <c r="F846" s="94" t="s">
        <v>1571</v>
      </c>
      <c r="G846" s="124" t="s">
        <v>1573</v>
      </c>
      <c r="H846" s="94">
        <v>2</v>
      </c>
      <c r="I846" s="94" t="s">
        <v>247</v>
      </c>
      <c r="J846" s="113">
        <v>46087</v>
      </c>
      <c r="K846" s="95">
        <v>5</v>
      </c>
      <c r="L846" s="126">
        <v>0.01</v>
      </c>
      <c r="M846" s="46">
        <f t="shared" si="20"/>
        <v>10</v>
      </c>
      <c r="N846" s="44" t="s">
        <v>519</v>
      </c>
      <c r="O846" s="112">
        <v>46085</v>
      </c>
      <c r="P846" s="116"/>
      <c r="Q846" s="44" t="s">
        <v>513</v>
      </c>
      <c r="R846" s="118">
        <v>46090</v>
      </c>
      <c r="V846" s="44">
        <v>8.8</v>
      </c>
    </row>
    <row r="847" s="32" customFormat="1" spans="1:22">
      <c r="A847" s="44">
        <v>622</v>
      </c>
      <c r="B847" s="44" t="s">
        <v>1423</v>
      </c>
      <c r="C847" s="76" t="s">
        <v>1532</v>
      </c>
      <c r="D847" s="125" t="s">
        <v>1567</v>
      </c>
      <c r="E847" s="76" t="s">
        <v>129</v>
      </c>
      <c r="F847" s="105" t="s">
        <v>1571</v>
      </c>
      <c r="G847" s="127" t="s">
        <v>1574</v>
      </c>
      <c r="H847" s="105">
        <v>2</v>
      </c>
      <c r="I847" s="94" t="s">
        <v>247</v>
      </c>
      <c r="J847" s="113">
        <v>46087</v>
      </c>
      <c r="K847" s="106">
        <v>5.5</v>
      </c>
      <c r="L847" s="79">
        <v>0.01</v>
      </c>
      <c r="M847" s="128">
        <f t="shared" si="20"/>
        <v>11</v>
      </c>
      <c r="N847" s="44" t="s">
        <v>519</v>
      </c>
      <c r="O847" s="113">
        <v>46085</v>
      </c>
      <c r="P847" s="116"/>
      <c r="Q847" s="76" t="s">
        <v>513</v>
      </c>
      <c r="R847" s="118">
        <v>46090</v>
      </c>
      <c r="V847" s="98">
        <v>4.73</v>
      </c>
    </row>
    <row r="848" s="32" customFormat="1" spans="1:22">
      <c r="A848" s="44">
        <v>623</v>
      </c>
      <c r="B848" s="129" t="s">
        <v>1423</v>
      </c>
      <c r="C848" s="44" t="s">
        <v>1575</v>
      </c>
      <c r="D848" s="111" t="s">
        <v>1567</v>
      </c>
      <c r="E848" s="44" t="s">
        <v>129</v>
      </c>
      <c r="F848" s="94" t="s">
        <v>1576</v>
      </c>
      <c r="G848" s="93" t="s">
        <v>1577</v>
      </c>
      <c r="H848" s="94">
        <v>1</v>
      </c>
      <c r="I848" s="94" t="s">
        <v>109</v>
      </c>
      <c r="J848" s="112">
        <v>46087</v>
      </c>
      <c r="K848" s="95">
        <v>55</v>
      </c>
      <c r="L848" s="49">
        <v>0.01</v>
      </c>
      <c r="M848" s="46">
        <f t="shared" si="20"/>
        <v>55</v>
      </c>
      <c r="N848" s="44" t="s">
        <v>519</v>
      </c>
      <c r="O848" s="112">
        <v>46085</v>
      </c>
      <c r="P848" s="53"/>
      <c r="Q848" s="44" t="s">
        <v>513</v>
      </c>
      <c r="R848" s="118">
        <v>46086</v>
      </c>
      <c r="S848" s="130"/>
      <c r="T848" s="130"/>
      <c r="U848" s="44"/>
      <c r="V848" s="44">
        <v>49.9</v>
      </c>
    </row>
    <row r="849" s="32" customFormat="1" spans="1:22">
      <c r="A849" s="44">
        <v>624</v>
      </c>
      <c r="B849" s="129" t="s">
        <v>1423</v>
      </c>
      <c r="C849" s="44" t="s">
        <v>1532</v>
      </c>
      <c r="D849" s="111" t="s">
        <v>1567</v>
      </c>
      <c r="E849" s="44" t="s">
        <v>129</v>
      </c>
      <c r="F849" s="94" t="s">
        <v>1017</v>
      </c>
      <c r="G849" s="93" t="s">
        <v>1578</v>
      </c>
      <c r="H849" s="94">
        <v>1</v>
      </c>
      <c r="I849" s="94" t="s">
        <v>518</v>
      </c>
      <c r="J849" s="112">
        <v>46087</v>
      </c>
      <c r="K849" s="95">
        <v>880</v>
      </c>
      <c r="L849" s="49">
        <v>0.01</v>
      </c>
      <c r="M849" s="46">
        <f t="shared" si="20"/>
        <v>880</v>
      </c>
      <c r="N849" s="44" t="s">
        <v>519</v>
      </c>
      <c r="O849" s="112">
        <v>46085</v>
      </c>
      <c r="P849" s="53"/>
      <c r="Q849" s="44" t="s">
        <v>513</v>
      </c>
      <c r="R849" s="118">
        <v>46086</v>
      </c>
      <c r="S849" s="44"/>
      <c r="T849" s="44"/>
      <c r="U849" s="44"/>
      <c r="V849" s="44">
        <v>899</v>
      </c>
    </row>
    <row r="850" s="32" customFormat="1" ht="26.65" customHeight="1" spans="1:22">
      <c r="A850" s="44">
        <v>625</v>
      </c>
      <c r="B850" s="44" t="s">
        <v>1406</v>
      </c>
      <c r="C850" s="44" t="s">
        <v>1579</v>
      </c>
      <c r="D850" s="111" t="s">
        <v>1476</v>
      </c>
      <c r="E850" s="44" t="s">
        <v>129</v>
      </c>
      <c r="F850" s="93" t="s">
        <v>1580</v>
      </c>
      <c r="G850" s="93" t="s">
        <v>1581</v>
      </c>
      <c r="H850" s="93">
        <v>2</v>
      </c>
      <c r="I850" s="93" t="s">
        <v>109</v>
      </c>
      <c r="J850" s="112">
        <v>46085</v>
      </c>
      <c r="K850" s="95">
        <v>12</v>
      </c>
      <c r="L850" s="49">
        <v>0.01</v>
      </c>
      <c r="M850" s="46">
        <f>H850*K850</f>
        <v>24</v>
      </c>
      <c r="N850" s="44" t="s">
        <v>519</v>
      </c>
      <c r="O850" s="45">
        <v>46086</v>
      </c>
      <c r="P850" s="53"/>
      <c r="Q850" s="44" t="s">
        <v>513</v>
      </c>
      <c r="R850" s="118">
        <v>46087</v>
      </c>
      <c r="S850" s="44"/>
      <c r="T850" s="44"/>
      <c r="U850" s="44"/>
      <c r="V850" s="44">
        <v>19</v>
      </c>
    </row>
    <row r="851" s="32" customFormat="1" spans="1:22">
      <c r="A851" s="44">
        <v>626</v>
      </c>
      <c r="B851" s="44" t="s">
        <v>1582</v>
      </c>
      <c r="C851" s="44" t="s">
        <v>1532</v>
      </c>
      <c r="D851" s="111" t="s">
        <v>1583</v>
      </c>
      <c r="E851" s="44" t="s">
        <v>129</v>
      </c>
      <c r="F851" s="93" t="s">
        <v>1584</v>
      </c>
      <c r="G851" s="93" t="s">
        <v>1585</v>
      </c>
      <c r="H851" s="93">
        <v>2</v>
      </c>
      <c r="I851" s="93" t="s">
        <v>109</v>
      </c>
      <c r="J851" s="112">
        <v>46090</v>
      </c>
      <c r="K851" s="95">
        <v>28</v>
      </c>
      <c r="L851" s="49">
        <v>0.01</v>
      </c>
      <c r="M851" s="46">
        <f t="shared" ref="M851:M914" si="21">H851*K851</f>
        <v>56</v>
      </c>
      <c r="N851" s="44" t="s">
        <v>519</v>
      </c>
      <c r="O851" s="45">
        <v>46086</v>
      </c>
      <c r="P851" s="53"/>
      <c r="Q851" s="44" t="s">
        <v>513</v>
      </c>
      <c r="R851" s="118">
        <v>46088</v>
      </c>
      <c r="S851" s="44"/>
      <c r="T851" s="44"/>
      <c r="U851" s="44"/>
      <c r="V851" s="44">
        <v>58</v>
      </c>
    </row>
    <row r="852" s="32" customFormat="1" spans="1:22">
      <c r="A852" s="44">
        <v>627</v>
      </c>
      <c r="B852" s="44" t="s">
        <v>1582</v>
      </c>
      <c r="C852" s="44" t="s">
        <v>1532</v>
      </c>
      <c r="D852" s="111" t="s">
        <v>1583</v>
      </c>
      <c r="E852" s="44" t="s">
        <v>129</v>
      </c>
      <c r="F852" s="93" t="s">
        <v>1584</v>
      </c>
      <c r="G852" s="93" t="s">
        <v>1586</v>
      </c>
      <c r="H852" s="93">
        <v>2</v>
      </c>
      <c r="I852" s="93" t="s">
        <v>109</v>
      </c>
      <c r="J852" s="112">
        <v>46090</v>
      </c>
      <c r="K852" s="95">
        <v>45</v>
      </c>
      <c r="L852" s="49">
        <v>0.01</v>
      </c>
      <c r="M852" s="46">
        <f t="shared" si="21"/>
        <v>90</v>
      </c>
      <c r="N852" s="44" t="s">
        <v>519</v>
      </c>
      <c r="O852" s="45">
        <v>46086</v>
      </c>
      <c r="P852" s="53"/>
      <c r="Q852" s="44" t="s">
        <v>513</v>
      </c>
      <c r="R852" s="118">
        <v>46089</v>
      </c>
      <c r="S852" s="44"/>
      <c r="T852" s="44"/>
      <c r="U852" s="44"/>
      <c r="V852" s="44">
        <v>80</v>
      </c>
    </row>
    <row r="853" s="32" customFormat="1" spans="1:22">
      <c r="A853" s="44">
        <v>628</v>
      </c>
      <c r="B853" s="44" t="s">
        <v>1417</v>
      </c>
      <c r="C853" s="44" t="s">
        <v>1587</v>
      </c>
      <c r="D853" s="44" t="s">
        <v>1588</v>
      </c>
      <c r="E853" s="44" t="s">
        <v>129</v>
      </c>
      <c r="F853" s="93" t="s">
        <v>1589</v>
      </c>
      <c r="G853" s="93" t="s">
        <v>1590</v>
      </c>
      <c r="H853" s="93">
        <v>220</v>
      </c>
      <c r="I853" s="93" t="s">
        <v>109</v>
      </c>
      <c r="J853" s="112">
        <v>46089</v>
      </c>
      <c r="K853" s="95">
        <v>0.24</v>
      </c>
      <c r="L853" s="49">
        <v>0.01</v>
      </c>
      <c r="M853" s="46">
        <f t="shared" si="21"/>
        <v>52.8</v>
      </c>
      <c r="N853" s="44" t="s">
        <v>519</v>
      </c>
      <c r="O853" s="45">
        <v>46088</v>
      </c>
      <c r="P853" s="53"/>
      <c r="Q853" s="44" t="s">
        <v>513</v>
      </c>
      <c r="R853" s="118">
        <v>46090</v>
      </c>
      <c r="S853" s="44"/>
      <c r="T853" s="44"/>
      <c r="U853" s="44"/>
      <c r="V853" s="44">
        <v>45</v>
      </c>
    </row>
    <row r="854" s="32" customFormat="1" spans="1:22">
      <c r="A854" s="44">
        <v>629</v>
      </c>
      <c r="B854" s="44" t="s">
        <v>1417</v>
      </c>
      <c r="C854" s="44" t="s">
        <v>1532</v>
      </c>
      <c r="D854" s="44" t="s">
        <v>1591</v>
      </c>
      <c r="E854" s="44" t="s">
        <v>129</v>
      </c>
      <c r="F854" s="93" t="s">
        <v>108</v>
      </c>
      <c r="G854" s="93" t="s">
        <v>1418</v>
      </c>
      <c r="H854" s="93">
        <v>16</v>
      </c>
      <c r="I854" s="93" t="s">
        <v>109</v>
      </c>
      <c r="J854" s="112">
        <v>46090</v>
      </c>
      <c r="K854" s="95">
        <v>33</v>
      </c>
      <c r="L854" s="49">
        <v>0.01</v>
      </c>
      <c r="M854" s="46">
        <f t="shared" si="21"/>
        <v>528</v>
      </c>
      <c r="N854" s="44" t="s">
        <v>519</v>
      </c>
      <c r="O854" s="45">
        <v>46088</v>
      </c>
      <c r="P854" s="53"/>
      <c r="Q854" s="44" t="s">
        <v>513</v>
      </c>
      <c r="R854" s="118">
        <v>46090</v>
      </c>
      <c r="S854" s="44"/>
      <c r="T854" s="44"/>
      <c r="U854" s="44"/>
      <c r="V854" s="44">
        <v>416</v>
      </c>
    </row>
    <row r="855" s="32" customFormat="1" spans="1:22">
      <c r="A855" s="44">
        <v>630</v>
      </c>
      <c r="B855" s="44" t="s">
        <v>507</v>
      </c>
      <c r="C855" s="44" t="s">
        <v>1532</v>
      </c>
      <c r="D855" s="44" t="s">
        <v>1592</v>
      </c>
      <c r="E855" s="44" t="s">
        <v>129</v>
      </c>
      <c r="F855" s="93" t="s">
        <v>1593</v>
      </c>
      <c r="G855" s="93" t="s">
        <v>1594</v>
      </c>
      <c r="H855" s="93">
        <v>20</v>
      </c>
      <c r="I855" s="93" t="s">
        <v>109</v>
      </c>
      <c r="J855" s="112">
        <v>46090</v>
      </c>
      <c r="K855" s="95">
        <v>5.8</v>
      </c>
      <c r="L855" s="49">
        <v>0.01</v>
      </c>
      <c r="M855" s="46">
        <f t="shared" si="21"/>
        <v>116</v>
      </c>
      <c r="N855" s="44" t="s">
        <v>519</v>
      </c>
      <c r="O855" s="45">
        <v>46088</v>
      </c>
      <c r="P855" s="53"/>
      <c r="Q855" s="44" t="s">
        <v>513</v>
      </c>
      <c r="R855" s="118">
        <v>46090</v>
      </c>
      <c r="S855" s="44"/>
      <c r="T855" s="44"/>
      <c r="U855" s="44"/>
      <c r="V855" s="44">
        <v>100</v>
      </c>
    </row>
    <row r="856" s="32" customFormat="1" spans="1:22">
      <c r="A856" s="44">
        <v>631</v>
      </c>
      <c r="B856" s="44" t="s">
        <v>1442</v>
      </c>
      <c r="C856" s="44" t="s">
        <v>1532</v>
      </c>
      <c r="D856" s="111" t="s">
        <v>1533</v>
      </c>
      <c r="E856" s="44" t="s">
        <v>129</v>
      </c>
      <c r="F856" s="93" t="s">
        <v>1595</v>
      </c>
      <c r="G856" s="93" t="s">
        <v>1109</v>
      </c>
      <c r="H856" s="93">
        <v>20</v>
      </c>
      <c r="I856" s="93" t="s">
        <v>109</v>
      </c>
      <c r="J856" s="112">
        <v>46090</v>
      </c>
      <c r="K856" s="95">
        <v>17.7</v>
      </c>
      <c r="L856" s="49">
        <v>0.01</v>
      </c>
      <c r="M856" s="46">
        <f t="shared" si="21"/>
        <v>354</v>
      </c>
      <c r="N856" s="44" t="s">
        <v>519</v>
      </c>
      <c r="O856" s="45">
        <v>46088</v>
      </c>
      <c r="P856" s="53"/>
      <c r="Q856" s="44" t="s">
        <v>513</v>
      </c>
      <c r="R856" s="118">
        <v>46090</v>
      </c>
      <c r="S856" s="44"/>
      <c r="T856" s="44"/>
      <c r="U856" s="44"/>
      <c r="V856" s="44">
        <v>322</v>
      </c>
    </row>
    <row r="857" s="32" customFormat="1" spans="1:22">
      <c r="A857" s="44">
        <v>632</v>
      </c>
      <c r="B857" s="44" t="s">
        <v>1596</v>
      </c>
      <c r="C857" s="44" t="s">
        <v>1597</v>
      </c>
      <c r="D857" s="44"/>
      <c r="E857" s="44" t="s">
        <v>129</v>
      </c>
      <c r="F857" s="93" t="s">
        <v>1598</v>
      </c>
      <c r="G857" s="93" t="s">
        <v>1599</v>
      </c>
      <c r="H857" s="93">
        <v>50</v>
      </c>
      <c r="I857" s="93" t="s">
        <v>109</v>
      </c>
      <c r="J857" s="112">
        <v>46093</v>
      </c>
      <c r="K857" s="95">
        <v>3.4</v>
      </c>
      <c r="L857" s="49">
        <v>0.01</v>
      </c>
      <c r="M857" s="46">
        <f t="shared" si="21"/>
        <v>170</v>
      </c>
      <c r="N857" s="44" t="s">
        <v>519</v>
      </c>
      <c r="O857" s="45">
        <v>46088</v>
      </c>
      <c r="P857" s="53"/>
      <c r="Q857" s="44" t="s">
        <v>513</v>
      </c>
      <c r="R857" s="118">
        <v>46090</v>
      </c>
      <c r="S857" s="44"/>
      <c r="T857" s="44"/>
      <c r="U857" s="44"/>
      <c r="V857" s="44">
        <v>165</v>
      </c>
    </row>
    <row r="858" s="32" customFormat="1" spans="1:22">
      <c r="A858" s="44">
        <v>633</v>
      </c>
      <c r="B858" s="98" t="s">
        <v>1521</v>
      </c>
      <c r="C858" s="32" t="s">
        <v>1475</v>
      </c>
      <c r="D858" s="32" t="s">
        <v>1522</v>
      </c>
      <c r="E858" s="44" t="s">
        <v>129</v>
      </c>
      <c r="F858" s="93" t="s">
        <v>1600</v>
      </c>
      <c r="G858" s="93" t="s">
        <v>1601</v>
      </c>
      <c r="H858" s="93">
        <v>1</v>
      </c>
      <c r="I858" s="93" t="s">
        <v>469</v>
      </c>
      <c r="J858" s="112">
        <v>46092</v>
      </c>
      <c r="K858" s="95">
        <v>1232</v>
      </c>
      <c r="L858" s="49">
        <v>0.01</v>
      </c>
      <c r="M858" s="46">
        <f t="shared" si="21"/>
        <v>1232</v>
      </c>
      <c r="N858" s="44" t="s">
        <v>519</v>
      </c>
      <c r="O858" s="131">
        <v>46091</v>
      </c>
      <c r="P858" s="116"/>
      <c r="Q858" s="44" t="s">
        <v>513</v>
      </c>
      <c r="R858" s="112">
        <v>46092</v>
      </c>
      <c r="V858" s="132">
        <v>1120</v>
      </c>
    </row>
    <row r="859" s="32" customFormat="1" spans="1:22">
      <c r="A859" s="44">
        <v>634</v>
      </c>
      <c r="B859" s="98" t="s">
        <v>1602</v>
      </c>
      <c r="C859" s="32" t="s">
        <v>1603</v>
      </c>
      <c r="E859" s="76" t="s">
        <v>129</v>
      </c>
      <c r="F859" s="96" t="s">
        <v>1604</v>
      </c>
      <c r="G859" s="96"/>
      <c r="H859" s="96">
        <v>1</v>
      </c>
      <c r="I859" s="96"/>
      <c r="J859" s="113">
        <v>46094</v>
      </c>
      <c r="K859" s="106">
        <v>610</v>
      </c>
      <c r="L859" s="79">
        <v>0.01</v>
      </c>
      <c r="M859" s="128">
        <f t="shared" si="21"/>
        <v>610</v>
      </c>
      <c r="N859" s="44" t="s">
        <v>519</v>
      </c>
      <c r="O859" s="131">
        <v>46091</v>
      </c>
      <c r="P859" s="116"/>
      <c r="Q859" s="76" t="s">
        <v>513</v>
      </c>
      <c r="R859" s="113">
        <v>46094</v>
      </c>
      <c r="V859" s="32">
        <v>580</v>
      </c>
    </row>
    <row r="860" s="32" customFormat="1" spans="1:22">
      <c r="A860" s="44">
        <v>635</v>
      </c>
      <c r="B860" s="44" t="s">
        <v>1417</v>
      </c>
      <c r="C860" s="44" t="s">
        <v>1532</v>
      </c>
      <c r="D860" s="44" t="s">
        <v>1588</v>
      </c>
      <c r="E860" s="44" t="s">
        <v>129</v>
      </c>
      <c r="F860" s="93" t="s">
        <v>1589</v>
      </c>
      <c r="G860" s="93" t="s">
        <v>1590</v>
      </c>
      <c r="H860" s="93">
        <v>50</v>
      </c>
      <c r="I860" s="93" t="s">
        <v>109</v>
      </c>
      <c r="J860" s="112">
        <v>46091</v>
      </c>
      <c r="K860" s="95">
        <v>0.24</v>
      </c>
      <c r="L860" s="49">
        <v>0.01</v>
      </c>
      <c r="M860" s="46">
        <f t="shared" si="21"/>
        <v>12</v>
      </c>
      <c r="N860" s="44" t="s">
        <v>519</v>
      </c>
      <c r="O860" s="45">
        <v>46091</v>
      </c>
      <c r="P860" s="53"/>
      <c r="Q860" s="44" t="s">
        <v>513</v>
      </c>
      <c r="R860" s="112">
        <v>46094</v>
      </c>
      <c r="S860" s="44"/>
      <c r="T860" s="44"/>
      <c r="U860" s="44"/>
      <c r="V860" s="44">
        <v>10</v>
      </c>
    </row>
    <row r="861" s="32" customFormat="1" ht="28.05" customHeight="1" spans="1:22">
      <c r="A861" s="44">
        <v>636</v>
      </c>
      <c r="B861" s="44" t="s">
        <v>1419</v>
      </c>
      <c r="C861" s="44" t="s">
        <v>1605</v>
      </c>
      <c r="D861" s="44" t="s">
        <v>1606</v>
      </c>
      <c r="E861" s="44" t="s">
        <v>129</v>
      </c>
      <c r="F861" s="93" t="s">
        <v>1607</v>
      </c>
      <c r="G861" s="93" t="s">
        <v>1608</v>
      </c>
      <c r="H861" s="93">
        <v>4</v>
      </c>
      <c r="I861" s="93" t="s">
        <v>1609</v>
      </c>
      <c r="J861" s="112">
        <v>46092</v>
      </c>
      <c r="K861" s="95">
        <v>22</v>
      </c>
      <c r="L861" s="49">
        <v>0.01</v>
      </c>
      <c r="M861" s="46">
        <f t="shared" si="21"/>
        <v>88</v>
      </c>
      <c r="N861" s="44" t="s">
        <v>519</v>
      </c>
      <c r="O861" s="45">
        <v>46091</v>
      </c>
      <c r="P861" s="53"/>
      <c r="Q861" s="44" t="s">
        <v>513</v>
      </c>
      <c r="R861" s="112">
        <v>46094</v>
      </c>
      <c r="S861" s="44"/>
      <c r="T861" s="44"/>
      <c r="U861" s="44"/>
      <c r="V861" s="44">
        <v>76.84</v>
      </c>
    </row>
    <row r="862" s="32" customFormat="1" spans="1:22">
      <c r="A862" s="44">
        <v>637</v>
      </c>
      <c r="B862" s="44" t="s">
        <v>1417</v>
      </c>
      <c r="C862" s="44" t="s">
        <v>1532</v>
      </c>
      <c r="D862" s="44" t="s">
        <v>1610</v>
      </c>
      <c r="E862" s="44" t="s">
        <v>129</v>
      </c>
      <c r="F862" s="93" t="s">
        <v>1135</v>
      </c>
      <c r="G862" s="93" t="s">
        <v>1320</v>
      </c>
      <c r="H862" s="93">
        <v>35</v>
      </c>
      <c r="I862" s="93" t="s">
        <v>247</v>
      </c>
      <c r="J862" s="112">
        <v>46094</v>
      </c>
      <c r="K862" s="95">
        <v>0.5</v>
      </c>
      <c r="L862" s="49">
        <v>0.01</v>
      </c>
      <c r="M862" s="46">
        <f t="shared" si="21"/>
        <v>17.5</v>
      </c>
      <c r="N862" s="44" t="s">
        <v>519</v>
      </c>
      <c r="O862" s="45">
        <v>46091</v>
      </c>
      <c r="P862" s="53"/>
      <c r="Q862" s="44" t="s">
        <v>513</v>
      </c>
      <c r="R862" s="112">
        <v>46096</v>
      </c>
      <c r="S862" s="44"/>
      <c r="T862" s="44"/>
      <c r="U862" s="44"/>
      <c r="V862" s="44">
        <v>11</v>
      </c>
    </row>
    <row r="863" s="32" customFormat="1" spans="1:22">
      <c r="A863" s="44">
        <v>638</v>
      </c>
      <c r="B863" s="44" t="s">
        <v>1611</v>
      </c>
      <c r="C863" s="44" t="s">
        <v>1612</v>
      </c>
      <c r="D863" s="44" t="s">
        <v>1613</v>
      </c>
      <c r="E863" s="44" t="s">
        <v>129</v>
      </c>
      <c r="F863" s="93" t="s">
        <v>1614</v>
      </c>
      <c r="G863" s="93" t="s">
        <v>1615</v>
      </c>
      <c r="H863" s="93">
        <v>1</v>
      </c>
      <c r="I863" s="93" t="s">
        <v>518</v>
      </c>
      <c r="J863" s="112">
        <v>46092</v>
      </c>
      <c r="K863" s="95">
        <v>2950</v>
      </c>
      <c r="L863" s="49">
        <v>0.01</v>
      </c>
      <c r="M863" s="46">
        <f t="shared" si="21"/>
        <v>2950</v>
      </c>
      <c r="N863" s="44" t="s">
        <v>519</v>
      </c>
      <c r="O863" s="45">
        <v>46091</v>
      </c>
      <c r="P863" s="53"/>
      <c r="Q863" s="44" t="s">
        <v>513</v>
      </c>
      <c r="R863" s="112">
        <v>46092</v>
      </c>
      <c r="S863" s="44"/>
      <c r="T863" s="44"/>
      <c r="U863" s="44"/>
      <c r="V863" s="133">
        <v>2680.65</v>
      </c>
    </row>
    <row r="864" s="32" customFormat="1" ht="24" customHeight="1" spans="1:22">
      <c r="A864" s="44">
        <v>639</v>
      </c>
      <c r="B864" s="44" t="s">
        <v>1423</v>
      </c>
      <c r="C864" s="44" t="s">
        <v>1532</v>
      </c>
      <c r="D864" s="44" t="s">
        <v>1616</v>
      </c>
      <c r="E864" s="44" t="s">
        <v>129</v>
      </c>
      <c r="F864" s="93" t="s">
        <v>1425</v>
      </c>
      <c r="G864" s="93" t="s">
        <v>1426</v>
      </c>
      <c r="H864" s="93">
        <v>1</v>
      </c>
      <c r="I864" s="93" t="s">
        <v>109</v>
      </c>
      <c r="J864" s="112">
        <v>46097</v>
      </c>
      <c r="K864" s="95">
        <v>72.5</v>
      </c>
      <c r="L864" s="49">
        <v>0.01</v>
      </c>
      <c r="M864" s="46">
        <f t="shared" si="21"/>
        <v>72.5</v>
      </c>
      <c r="N864" s="44" t="s">
        <v>519</v>
      </c>
      <c r="O864" s="45">
        <v>46093</v>
      </c>
      <c r="P864" s="53"/>
      <c r="Q864" s="44" t="s">
        <v>513</v>
      </c>
      <c r="R864" s="112">
        <v>46097</v>
      </c>
      <c r="S864" s="44"/>
      <c r="T864" s="44"/>
      <c r="U864" s="44"/>
      <c r="V864" s="44">
        <v>66</v>
      </c>
    </row>
    <row r="865" s="32" customFormat="1" ht="21.95" customHeight="1" spans="1:22">
      <c r="A865" s="44">
        <v>640</v>
      </c>
      <c r="B865" s="44" t="s">
        <v>1423</v>
      </c>
      <c r="C865" s="44" t="s">
        <v>1532</v>
      </c>
      <c r="D865" s="44" t="s">
        <v>1616</v>
      </c>
      <c r="E865" s="44" t="s">
        <v>129</v>
      </c>
      <c r="F865" s="93" t="s">
        <v>1617</v>
      </c>
      <c r="G865" s="93" t="s">
        <v>1618</v>
      </c>
      <c r="H865" s="93">
        <v>1</v>
      </c>
      <c r="I865" s="93" t="s">
        <v>109</v>
      </c>
      <c r="J865" s="112">
        <v>46097</v>
      </c>
      <c r="K865" s="95">
        <v>120</v>
      </c>
      <c r="L865" s="49">
        <v>0.01</v>
      </c>
      <c r="M865" s="46">
        <f t="shared" si="21"/>
        <v>120</v>
      </c>
      <c r="N865" s="44" t="s">
        <v>519</v>
      </c>
      <c r="O865" s="45">
        <v>46093</v>
      </c>
      <c r="P865" s="53"/>
      <c r="Q865" s="44" t="s">
        <v>513</v>
      </c>
      <c r="R865" s="112">
        <v>46097</v>
      </c>
      <c r="S865" s="44"/>
      <c r="T865" s="44"/>
      <c r="U865" s="44"/>
      <c r="V865" s="44">
        <v>109.9</v>
      </c>
    </row>
    <row r="866" s="32" customFormat="1" spans="1:22">
      <c r="A866" s="44">
        <v>641</v>
      </c>
      <c r="B866" s="44" t="s">
        <v>1423</v>
      </c>
      <c r="C866" s="44" t="s">
        <v>1532</v>
      </c>
      <c r="D866" s="44" t="s">
        <v>1616</v>
      </c>
      <c r="E866" s="44" t="s">
        <v>129</v>
      </c>
      <c r="F866" s="93" t="s">
        <v>1017</v>
      </c>
      <c r="G866" s="93" t="s">
        <v>1619</v>
      </c>
      <c r="H866" s="93">
        <v>1</v>
      </c>
      <c r="I866" s="93" t="s">
        <v>518</v>
      </c>
      <c r="J866" s="112">
        <v>46097</v>
      </c>
      <c r="K866" s="95">
        <v>660</v>
      </c>
      <c r="L866" s="49">
        <v>0.01</v>
      </c>
      <c r="M866" s="46">
        <f t="shared" si="21"/>
        <v>660</v>
      </c>
      <c r="N866" s="44" t="s">
        <v>519</v>
      </c>
      <c r="O866" s="45">
        <v>46093</v>
      </c>
      <c r="P866" s="53"/>
      <c r="Q866" s="44" t="s">
        <v>513</v>
      </c>
      <c r="R866" s="112">
        <v>46097</v>
      </c>
      <c r="S866" s="44"/>
      <c r="T866" s="44"/>
      <c r="U866" s="44"/>
      <c r="V866" s="44">
        <v>599</v>
      </c>
    </row>
    <row r="867" s="32" customFormat="1" spans="1:22">
      <c r="A867" s="44">
        <v>642</v>
      </c>
      <c r="B867" s="44" t="s">
        <v>1403</v>
      </c>
      <c r="C867" s="44" t="s">
        <v>1620</v>
      </c>
      <c r="D867" s="44" t="s">
        <v>1621</v>
      </c>
      <c r="E867" s="44" t="s">
        <v>129</v>
      </c>
      <c r="F867" s="93" t="s">
        <v>1622</v>
      </c>
      <c r="G867" s="93" t="s">
        <v>1623</v>
      </c>
      <c r="H867" s="93">
        <v>2</v>
      </c>
      <c r="I867" s="93" t="s">
        <v>604</v>
      </c>
      <c r="J867" s="112">
        <v>46097</v>
      </c>
      <c r="K867" s="95">
        <v>15</v>
      </c>
      <c r="L867" s="49">
        <v>0.01</v>
      </c>
      <c r="M867" s="46">
        <f t="shared" si="21"/>
        <v>30</v>
      </c>
      <c r="N867" s="44" t="s">
        <v>519</v>
      </c>
      <c r="O867" s="45">
        <v>46093</v>
      </c>
      <c r="P867" s="53"/>
      <c r="Q867" s="44" t="s">
        <v>513</v>
      </c>
      <c r="R867" s="112">
        <v>46097</v>
      </c>
      <c r="S867" s="44"/>
      <c r="T867" s="44"/>
      <c r="U867" s="44"/>
      <c r="V867" s="44">
        <v>25.8</v>
      </c>
    </row>
    <row r="868" s="32" customFormat="1" spans="1:22">
      <c r="A868" s="44">
        <v>643</v>
      </c>
      <c r="B868" s="44" t="s">
        <v>1403</v>
      </c>
      <c r="C868" s="44" t="s">
        <v>1620</v>
      </c>
      <c r="D868" s="44" t="s">
        <v>1621</v>
      </c>
      <c r="E868" s="44" t="s">
        <v>129</v>
      </c>
      <c r="F868" s="93" t="s">
        <v>1622</v>
      </c>
      <c r="G868" s="93" t="s">
        <v>1624</v>
      </c>
      <c r="H868" s="93">
        <v>2</v>
      </c>
      <c r="I868" s="93" t="s">
        <v>604</v>
      </c>
      <c r="J868" s="112">
        <v>46097</v>
      </c>
      <c r="K868" s="95">
        <v>12.5</v>
      </c>
      <c r="L868" s="49">
        <v>0.01</v>
      </c>
      <c r="M868" s="46">
        <f t="shared" si="21"/>
        <v>25</v>
      </c>
      <c r="N868" s="44" t="s">
        <v>519</v>
      </c>
      <c r="O868" s="45">
        <v>46093</v>
      </c>
      <c r="P868" s="53"/>
      <c r="Q868" s="44" t="s">
        <v>513</v>
      </c>
      <c r="R868" s="112">
        <v>46097</v>
      </c>
      <c r="S868" s="44"/>
      <c r="T868" s="44"/>
      <c r="U868" s="44"/>
      <c r="V868" s="44">
        <v>20.4</v>
      </c>
    </row>
    <row r="869" s="32" customFormat="1" spans="1:22">
      <c r="A869" s="44">
        <v>644</v>
      </c>
      <c r="B869" s="44" t="s">
        <v>1442</v>
      </c>
      <c r="C869" s="44" t="s">
        <v>1532</v>
      </c>
      <c r="D869" s="44" t="s">
        <v>1625</v>
      </c>
      <c r="E869" s="44" t="s">
        <v>129</v>
      </c>
      <c r="F869" s="93" t="s">
        <v>1626</v>
      </c>
      <c r="G869" s="93" t="s">
        <v>1627</v>
      </c>
      <c r="H869" s="93">
        <v>1</v>
      </c>
      <c r="I869" s="93" t="s">
        <v>109</v>
      </c>
      <c r="J869" s="112">
        <v>46097</v>
      </c>
      <c r="K869" s="95">
        <v>46</v>
      </c>
      <c r="L869" s="49">
        <v>0.01</v>
      </c>
      <c r="M869" s="46">
        <f t="shared" si="21"/>
        <v>46</v>
      </c>
      <c r="N869" s="44" t="s">
        <v>519</v>
      </c>
      <c r="O869" s="45">
        <v>46093</v>
      </c>
      <c r="P869" s="53"/>
      <c r="Q869" s="44" t="s">
        <v>513</v>
      </c>
      <c r="R869" s="112">
        <v>46097</v>
      </c>
      <c r="S869" s="44"/>
      <c r="T869" s="44"/>
      <c r="U869" s="44"/>
      <c r="V869" s="44">
        <v>42</v>
      </c>
    </row>
    <row r="870" s="32" customFormat="1" spans="1:22">
      <c r="A870" s="44">
        <v>645</v>
      </c>
      <c r="B870" s="44" t="s">
        <v>1417</v>
      </c>
      <c r="C870" s="44" t="s">
        <v>1532</v>
      </c>
      <c r="D870" s="44" t="s">
        <v>1628</v>
      </c>
      <c r="E870" s="44" t="s">
        <v>129</v>
      </c>
      <c r="F870" s="93" t="s">
        <v>108</v>
      </c>
      <c r="G870" s="93" t="s">
        <v>1629</v>
      </c>
      <c r="H870" s="93">
        <v>15</v>
      </c>
      <c r="I870" s="93" t="s">
        <v>109</v>
      </c>
      <c r="J870" s="112">
        <v>46095</v>
      </c>
      <c r="K870" s="95">
        <v>28.5</v>
      </c>
      <c r="L870" s="49">
        <v>0.01</v>
      </c>
      <c r="M870" s="46">
        <f t="shared" si="21"/>
        <v>427.5</v>
      </c>
      <c r="N870" s="44" t="s">
        <v>519</v>
      </c>
      <c r="O870" s="45">
        <v>46093</v>
      </c>
      <c r="P870" s="53"/>
      <c r="Q870" s="44" t="s">
        <v>513</v>
      </c>
      <c r="R870" s="112">
        <v>46095</v>
      </c>
      <c r="S870" s="44"/>
      <c r="T870" s="44"/>
      <c r="U870" s="44"/>
      <c r="V870" s="44">
        <v>390</v>
      </c>
    </row>
    <row r="871" s="32" customFormat="1" spans="1:22">
      <c r="A871" s="44">
        <v>646</v>
      </c>
      <c r="B871" s="44" t="s">
        <v>1453</v>
      </c>
      <c r="C871" s="44" t="s">
        <v>1630</v>
      </c>
      <c r="D871" s="44" t="s">
        <v>1505</v>
      </c>
      <c r="E871" s="44" t="s">
        <v>129</v>
      </c>
      <c r="F871" s="93" t="s">
        <v>1631</v>
      </c>
      <c r="G871" s="93" t="s">
        <v>757</v>
      </c>
      <c r="H871" s="93">
        <v>5</v>
      </c>
      <c r="I871" s="46" t="s">
        <v>202</v>
      </c>
      <c r="J871" s="112">
        <v>46097</v>
      </c>
      <c r="K871" s="95">
        <v>35</v>
      </c>
      <c r="L871" s="49">
        <v>0.01</v>
      </c>
      <c r="M871" s="46">
        <f t="shared" si="21"/>
        <v>175</v>
      </c>
      <c r="N871" s="44" t="s">
        <v>519</v>
      </c>
      <c r="O871" s="45">
        <v>46094</v>
      </c>
      <c r="P871" s="53"/>
      <c r="Q871" s="44" t="s">
        <v>513</v>
      </c>
      <c r="R871" s="112">
        <v>46099</v>
      </c>
      <c r="S871" s="44"/>
      <c r="T871" s="44"/>
      <c r="U871" s="44"/>
      <c r="V871" s="44">
        <v>130</v>
      </c>
    </row>
    <row r="872" s="32" customFormat="1" ht="25.15" customHeight="1" spans="1:22">
      <c r="A872" s="44">
        <v>647</v>
      </c>
      <c r="B872" s="44" t="s">
        <v>1453</v>
      </c>
      <c r="C872" s="44" t="s">
        <v>1632</v>
      </c>
      <c r="D872" s="44" t="s">
        <v>1505</v>
      </c>
      <c r="E872" s="44" t="s">
        <v>129</v>
      </c>
      <c r="F872" s="93" t="s">
        <v>914</v>
      </c>
      <c r="G872" s="93" t="s">
        <v>1057</v>
      </c>
      <c r="H872" s="93">
        <v>4</v>
      </c>
      <c r="I872" s="46" t="s">
        <v>1633</v>
      </c>
      <c r="J872" s="112">
        <v>46097</v>
      </c>
      <c r="K872" s="95">
        <v>13.2</v>
      </c>
      <c r="L872" s="49">
        <v>0.01</v>
      </c>
      <c r="M872" s="46">
        <f t="shared" si="21"/>
        <v>52.8</v>
      </c>
      <c r="N872" s="44" t="s">
        <v>519</v>
      </c>
      <c r="O872" s="45">
        <v>46094</v>
      </c>
      <c r="P872" s="53"/>
      <c r="Q872" s="44" t="s">
        <v>513</v>
      </c>
      <c r="R872" s="112">
        <v>46099</v>
      </c>
      <c r="S872" s="44"/>
      <c r="T872" s="44"/>
      <c r="U872" s="44"/>
      <c r="V872" s="44">
        <v>46</v>
      </c>
    </row>
    <row r="873" s="32" customFormat="1" spans="1:22">
      <c r="A873" s="44">
        <v>648</v>
      </c>
      <c r="B873" s="44" t="s">
        <v>1453</v>
      </c>
      <c r="C873" s="44" t="s">
        <v>1634</v>
      </c>
      <c r="D873" s="44" t="s">
        <v>1505</v>
      </c>
      <c r="E873" s="44" t="s">
        <v>129</v>
      </c>
      <c r="F873" s="93" t="s">
        <v>623</v>
      </c>
      <c r="G873" s="93" t="s">
        <v>1635</v>
      </c>
      <c r="H873" s="93">
        <v>3</v>
      </c>
      <c r="I873" s="46" t="s">
        <v>533</v>
      </c>
      <c r="J873" s="112">
        <v>46097</v>
      </c>
      <c r="K873" s="95">
        <v>22</v>
      </c>
      <c r="L873" s="49">
        <v>0.01</v>
      </c>
      <c r="M873" s="46">
        <f t="shared" si="21"/>
        <v>66</v>
      </c>
      <c r="N873" s="44" t="s">
        <v>519</v>
      </c>
      <c r="O873" s="45">
        <v>46094</v>
      </c>
      <c r="P873" s="53"/>
      <c r="Q873" s="44" t="s">
        <v>513</v>
      </c>
      <c r="R873" s="112">
        <v>46099</v>
      </c>
      <c r="S873" s="44"/>
      <c r="T873" s="44"/>
      <c r="U873" s="44"/>
      <c r="V873" s="44">
        <v>60</v>
      </c>
    </row>
    <row r="874" s="32" customFormat="1" ht="15.75" customHeight="1" spans="1:22">
      <c r="A874" s="44">
        <v>649</v>
      </c>
      <c r="B874" s="44" t="s">
        <v>1453</v>
      </c>
      <c r="C874" s="44" t="s">
        <v>1634</v>
      </c>
      <c r="D874" s="44" t="s">
        <v>1505</v>
      </c>
      <c r="E874" s="44" t="s">
        <v>129</v>
      </c>
      <c r="F874" s="93" t="s">
        <v>623</v>
      </c>
      <c r="G874" s="93" t="s">
        <v>1636</v>
      </c>
      <c r="H874" s="93">
        <v>1</v>
      </c>
      <c r="I874" s="46" t="s">
        <v>533</v>
      </c>
      <c r="J874" s="112">
        <v>46097</v>
      </c>
      <c r="K874" s="95">
        <v>63</v>
      </c>
      <c r="L874" s="49">
        <v>0.01</v>
      </c>
      <c r="M874" s="46">
        <f t="shared" si="21"/>
        <v>63</v>
      </c>
      <c r="N874" s="44" t="s">
        <v>519</v>
      </c>
      <c r="O874" s="45">
        <v>46094</v>
      </c>
      <c r="P874" s="53"/>
      <c r="Q874" s="44" t="s">
        <v>513</v>
      </c>
      <c r="R874" s="112">
        <v>46099</v>
      </c>
      <c r="S874" s="44"/>
      <c r="T874" s="44"/>
      <c r="U874" s="44"/>
      <c r="V874" s="44">
        <v>67</v>
      </c>
    </row>
    <row r="875" s="32" customFormat="1" spans="1:22">
      <c r="A875" s="44">
        <v>650</v>
      </c>
      <c r="B875" s="44" t="s">
        <v>1453</v>
      </c>
      <c r="C875" s="44" t="s">
        <v>1632</v>
      </c>
      <c r="D875" s="44" t="s">
        <v>1505</v>
      </c>
      <c r="E875" s="44" t="s">
        <v>129</v>
      </c>
      <c r="F875" s="93" t="s">
        <v>1637</v>
      </c>
      <c r="G875" s="93" t="s">
        <v>1638</v>
      </c>
      <c r="H875" s="93">
        <v>1</v>
      </c>
      <c r="I875" s="46"/>
      <c r="J875" s="112">
        <v>46097</v>
      </c>
      <c r="K875" s="95">
        <v>115.5</v>
      </c>
      <c r="L875" s="49">
        <v>0.01</v>
      </c>
      <c r="M875" s="46">
        <f t="shared" si="21"/>
        <v>115.5</v>
      </c>
      <c r="N875" s="44" t="s">
        <v>519</v>
      </c>
      <c r="O875" s="45">
        <v>46094</v>
      </c>
      <c r="P875" s="53"/>
      <c r="Q875" s="44" t="s">
        <v>513</v>
      </c>
      <c r="R875" s="112">
        <v>46099</v>
      </c>
      <c r="S875" s="44"/>
      <c r="T875" s="44"/>
      <c r="U875" s="44"/>
      <c r="V875" s="44">
        <v>101</v>
      </c>
    </row>
    <row r="876" s="32" customFormat="1" spans="1:22">
      <c r="A876" s="44">
        <v>651</v>
      </c>
      <c r="B876" s="76" t="s">
        <v>1453</v>
      </c>
      <c r="C876" s="76" t="s">
        <v>1634</v>
      </c>
      <c r="D876" s="76" t="s">
        <v>1505</v>
      </c>
      <c r="E876" s="76" t="s">
        <v>129</v>
      </c>
      <c r="F876" s="96" t="s">
        <v>1639</v>
      </c>
      <c r="G876" s="96" t="s">
        <v>1640</v>
      </c>
      <c r="H876" s="96">
        <v>1</v>
      </c>
      <c r="I876" s="128"/>
      <c r="J876" s="113">
        <v>46097</v>
      </c>
      <c r="K876" s="106">
        <v>55</v>
      </c>
      <c r="L876" s="79">
        <v>0.01</v>
      </c>
      <c r="M876" s="128">
        <f t="shared" si="21"/>
        <v>55</v>
      </c>
      <c r="N876" s="44" t="s">
        <v>519</v>
      </c>
      <c r="O876" s="78">
        <v>46094</v>
      </c>
      <c r="P876" s="116"/>
      <c r="Q876" s="76" t="s">
        <v>513</v>
      </c>
      <c r="R876" s="112">
        <v>46099</v>
      </c>
      <c r="T876" s="44"/>
      <c r="U876" s="44"/>
      <c r="V876" s="98">
        <v>48</v>
      </c>
    </row>
    <row r="877" s="32" customFormat="1" spans="1:22">
      <c r="A877" s="44">
        <v>652</v>
      </c>
      <c r="B877" s="44" t="s">
        <v>507</v>
      </c>
      <c r="C877" s="76" t="s">
        <v>1634</v>
      </c>
      <c r="D877" s="44" t="s">
        <v>1592</v>
      </c>
      <c r="E877" s="44" t="s">
        <v>129</v>
      </c>
      <c r="F877" s="93" t="s">
        <v>1641</v>
      </c>
      <c r="G877" s="93" t="s">
        <v>1642</v>
      </c>
      <c r="H877" s="93">
        <v>3</v>
      </c>
      <c r="I877" s="46"/>
      <c r="J877" s="112">
        <v>46097</v>
      </c>
      <c r="K877" s="95">
        <v>57.5</v>
      </c>
      <c r="L877" s="49">
        <v>0.01</v>
      </c>
      <c r="M877" s="46">
        <f t="shared" si="21"/>
        <v>172.5</v>
      </c>
      <c r="N877" s="44" t="s">
        <v>519</v>
      </c>
      <c r="O877" s="45">
        <v>46094</v>
      </c>
      <c r="P877" s="53"/>
      <c r="Q877" s="44" t="s">
        <v>513</v>
      </c>
      <c r="R877" s="112">
        <v>46099</v>
      </c>
      <c r="S877" s="44"/>
      <c r="T877" s="44"/>
      <c r="U877" s="44"/>
      <c r="V877" s="44">
        <v>157.5</v>
      </c>
    </row>
    <row r="878" s="32" customFormat="1" spans="1:22">
      <c r="A878" s="44">
        <v>653</v>
      </c>
      <c r="B878" s="44" t="s">
        <v>1602</v>
      </c>
      <c r="C878" s="44" t="s">
        <v>1603</v>
      </c>
      <c r="D878" s="44"/>
      <c r="E878" s="44" t="s">
        <v>129</v>
      </c>
      <c r="F878" s="93" t="s">
        <v>1643</v>
      </c>
      <c r="G878" s="93"/>
      <c r="H878" s="93">
        <v>1</v>
      </c>
      <c r="I878" s="46"/>
      <c r="J878" s="112">
        <v>46094</v>
      </c>
      <c r="K878" s="95">
        <v>860</v>
      </c>
      <c r="L878" s="49">
        <v>0.01</v>
      </c>
      <c r="M878" s="46">
        <f t="shared" si="21"/>
        <v>860</v>
      </c>
      <c r="N878" s="44" t="s">
        <v>519</v>
      </c>
      <c r="O878" s="45">
        <v>46094</v>
      </c>
      <c r="P878" s="53"/>
      <c r="Q878" s="44" t="s">
        <v>513</v>
      </c>
      <c r="R878" s="112">
        <v>46094</v>
      </c>
      <c r="S878" s="44"/>
      <c r="T878" s="44"/>
      <c r="U878" s="44"/>
      <c r="V878" s="44">
        <v>820</v>
      </c>
    </row>
    <row r="879" s="32" customFormat="1" spans="1:22">
      <c r="A879" s="44">
        <v>654</v>
      </c>
      <c r="B879" s="44" t="s">
        <v>1644</v>
      </c>
      <c r="C879" s="44" t="s">
        <v>1532</v>
      </c>
      <c r="D879" s="44" t="s">
        <v>1645</v>
      </c>
      <c r="E879" s="44" t="s">
        <v>129</v>
      </c>
      <c r="F879" s="93" t="s">
        <v>1646</v>
      </c>
      <c r="G879" s="93" t="s">
        <v>1647</v>
      </c>
      <c r="H879" s="93">
        <v>1</v>
      </c>
      <c r="I879" s="46"/>
      <c r="J879" s="112">
        <v>46096</v>
      </c>
      <c r="K879" s="95">
        <v>880</v>
      </c>
      <c r="L879" s="49">
        <v>0.01</v>
      </c>
      <c r="M879" s="46">
        <f t="shared" si="21"/>
        <v>880</v>
      </c>
      <c r="N879" s="44" t="s">
        <v>519</v>
      </c>
      <c r="O879" s="45">
        <v>46094</v>
      </c>
      <c r="P879" s="53"/>
      <c r="Q879" s="44" t="s">
        <v>513</v>
      </c>
      <c r="R879" s="112">
        <v>46095</v>
      </c>
      <c r="S879" s="44"/>
      <c r="T879" s="44"/>
      <c r="U879" s="44"/>
      <c r="V879" s="44">
        <v>1199</v>
      </c>
    </row>
    <row r="880" s="32" customFormat="1" spans="1:22">
      <c r="A880" s="44">
        <v>655</v>
      </c>
      <c r="B880" s="44" t="s">
        <v>1493</v>
      </c>
      <c r="C880" s="44" t="s">
        <v>1648</v>
      </c>
      <c r="D880" s="44" t="s">
        <v>1645</v>
      </c>
      <c r="E880" s="44" t="s">
        <v>129</v>
      </c>
      <c r="F880" s="93" t="s">
        <v>1649</v>
      </c>
      <c r="G880" s="93" t="s">
        <v>1650</v>
      </c>
      <c r="H880" s="93">
        <v>1</v>
      </c>
      <c r="I880" s="46"/>
      <c r="J880" s="112">
        <v>46095</v>
      </c>
      <c r="K880" s="95">
        <v>324</v>
      </c>
      <c r="L880" s="49">
        <v>0.01</v>
      </c>
      <c r="M880" s="46">
        <f t="shared" si="21"/>
        <v>324</v>
      </c>
      <c r="N880" s="44" t="s">
        <v>519</v>
      </c>
      <c r="O880" s="45">
        <v>46095</v>
      </c>
      <c r="P880" s="53"/>
      <c r="Q880" s="44" t="s">
        <v>513</v>
      </c>
      <c r="R880" s="112">
        <v>46099</v>
      </c>
      <c r="S880" s="44"/>
      <c r="T880" s="44"/>
      <c r="U880" s="44"/>
      <c r="V880" s="44">
        <v>294</v>
      </c>
    </row>
    <row r="881" s="32" customFormat="1" spans="1:22">
      <c r="A881" s="44">
        <v>656</v>
      </c>
      <c r="B881" s="44" t="s">
        <v>1582</v>
      </c>
      <c r="C881" s="44" t="s">
        <v>1620</v>
      </c>
      <c r="D881" s="44" t="s">
        <v>1651</v>
      </c>
      <c r="E881" s="44" t="s">
        <v>129</v>
      </c>
      <c r="F881" s="93" t="s">
        <v>1652</v>
      </c>
      <c r="G881" s="93" t="s">
        <v>1653</v>
      </c>
      <c r="H881" s="93">
        <v>1</v>
      </c>
      <c r="I881" s="46"/>
      <c r="J881" s="112">
        <v>46097</v>
      </c>
      <c r="K881" s="95">
        <v>473</v>
      </c>
      <c r="L881" s="49">
        <v>0.01</v>
      </c>
      <c r="M881" s="46">
        <f t="shared" si="21"/>
        <v>473</v>
      </c>
      <c r="N881" s="44" t="s">
        <v>519</v>
      </c>
      <c r="O881" s="45">
        <v>46095</v>
      </c>
      <c r="P881" s="53"/>
      <c r="Q881" s="44" t="s">
        <v>513</v>
      </c>
      <c r="R881" s="112">
        <v>46098</v>
      </c>
      <c r="S881" s="44"/>
      <c r="T881" s="44"/>
      <c r="U881" s="44"/>
      <c r="V881" s="44">
        <v>430</v>
      </c>
    </row>
    <row r="882" s="32" customFormat="1" spans="1:22">
      <c r="A882" s="44">
        <v>657</v>
      </c>
      <c r="B882" s="44" t="s">
        <v>1582</v>
      </c>
      <c r="C882" s="44" t="s">
        <v>1654</v>
      </c>
      <c r="D882" s="44" t="s">
        <v>1530</v>
      </c>
      <c r="E882" s="44" t="s">
        <v>129</v>
      </c>
      <c r="F882" s="93" t="s">
        <v>1655</v>
      </c>
      <c r="G882" s="93" t="s">
        <v>1656</v>
      </c>
      <c r="H882" s="93">
        <v>1</v>
      </c>
      <c r="I882" s="46" t="s">
        <v>518</v>
      </c>
      <c r="J882" s="112">
        <v>46099</v>
      </c>
      <c r="K882" s="95">
        <v>3454</v>
      </c>
      <c r="L882" s="49">
        <v>0.01</v>
      </c>
      <c r="M882" s="46">
        <f t="shared" si="21"/>
        <v>3454</v>
      </c>
      <c r="N882" s="44" t="s">
        <v>519</v>
      </c>
      <c r="O882" s="45">
        <v>46095</v>
      </c>
      <c r="P882" s="53"/>
      <c r="Q882" s="44" t="s">
        <v>513</v>
      </c>
      <c r="R882" s="112">
        <v>46098</v>
      </c>
      <c r="S882" s="44"/>
      <c r="T882" s="44"/>
      <c r="U882" s="44"/>
      <c r="V882" s="44">
        <v>3140</v>
      </c>
    </row>
    <row r="883" s="32" customFormat="1" spans="1:22">
      <c r="A883" s="44">
        <v>658</v>
      </c>
      <c r="B883" s="44" t="s">
        <v>1434</v>
      </c>
      <c r="C883" s="44" t="s">
        <v>1632</v>
      </c>
      <c r="D883" s="44"/>
      <c r="E883" s="44" t="s">
        <v>129</v>
      </c>
      <c r="F883" s="93" t="s">
        <v>981</v>
      </c>
      <c r="G883" s="93" t="s">
        <v>1657</v>
      </c>
      <c r="H883" s="93">
        <v>4</v>
      </c>
      <c r="I883" s="46"/>
      <c r="J883" s="134">
        <v>46104</v>
      </c>
      <c r="K883" s="95">
        <v>22</v>
      </c>
      <c r="L883" s="49">
        <v>0.01</v>
      </c>
      <c r="M883" s="46">
        <f t="shared" si="21"/>
        <v>88</v>
      </c>
      <c r="N883" s="44" t="s">
        <v>519</v>
      </c>
      <c r="O883" s="45">
        <v>46098</v>
      </c>
      <c r="P883" s="53"/>
      <c r="Q883" s="44" t="s">
        <v>513</v>
      </c>
      <c r="R883" s="112">
        <v>46099</v>
      </c>
      <c r="S883" s="44"/>
      <c r="T883" s="44"/>
      <c r="U883" s="44"/>
      <c r="V883" s="44">
        <v>76.2</v>
      </c>
    </row>
    <row r="884" s="32" customFormat="1" spans="1:22">
      <c r="A884" s="44">
        <v>659</v>
      </c>
      <c r="B884" s="44" t="s">
        <v>1434</v>
      </c>
      <c r="C884" s="44" t="s">
        <v>1632</v>
      </c>
      <c r="D884" s="44"/>
      <c r="E884" s="44" t="s">
        <v>129</v>
      </c>
      <c r="F884" s="93" t="s">
        <v>1658</v>
      </c>
      <c r="G884" s="93" t="s">
        <v>1659</v>
      </c>
      <c r="H884" s="93">
        <v>5</v>
      </c>
      <c r="I884" s="46"/>
      <c r="J884" s="134">
        <v>46104</v>
      </c>
      <c r="K884" s="95">
        <v>97</v>
      </c>
      <c r="L884" s="49">
        <v>0.01</v>
      </c>
      <c r="M884" s="46">
        <f t="shared" si="21"/>
        <v>485</v>
      </c>
      <c r="N884" s="44" t="s">
        <v>519</v>
      </c>
      <c r="O884" s="45">
        <v>46098</v>
      </c>
      <c r="P884" s="53"/>
      <c r="Q884" s="44" t="s">
        <v>513</v>
      </c>
      <c r="R884" s="112">
        <v>46099</v>
      </c>
      <c r="S884" s="44"/>
      <c r="T884" s="44"/>
      <c r="U884" s="44"/>
      <c r="V884" s="44">
        <v>440</v>
      </c>
    </row>
    <row r="885" s="32" customFormat="1" spans="1:22">
      <c r="A885" s="44">
        <v>660</v>
      </c>
      <c r="B885" s="44" t="s">
        <v>1434</v>
      </c>
      <c r="C885" s="44" t="s">
        <v>1532</v>
      </c>
      <c r="D885" s="44"/>
      <c r="E885" s="44" t="s">
        <v>129</v>
      </c>
      <c r="F885" s="93" t="s">
        <v>1029</v>
      </c>
      <c r="G885" s="93" t="s">
        <v>1030</v>
      </c>
      <c r="H885" s="93">
        <v>5</v>
      </c>
      <c r="I885" s="46"/>
      <c r="J885" s="134">
        <v>46104</v>
      </c>
      <c r="K885" s="95">
        <v>44</v>
      </c>
      <c r="L885" s="49">
        <v>0.01</v>
      </c>
      <c r="M885" s="46">
        <f t="shared" si="21"/>
        <v>220</v>
      </c>
      <c r="N885" s="44" t="s">
        <v>519</v>
      </c>
      <c r="O885" s="45">
        <v>46098</v>
      </c>
      <c r="P885" s="53"/>
      <c r="Q885" s="44" t="s">
        <v>513</v>
      </c>
      <c r="R885" s="112">
        <v>46099</v>
      </c>
      <c r="S885" s="44"/>
      <c r="T885" s="44"/>
      <c r="U885" s="44"/>
      <c r="V885" s="44">
        <v>39.9</v>
      </c>
    </row>
    <row r="886" s="32" customFormat="1" spans="1:22">
      <c r="A886" s="44">
        <v>661</v>
      </c>
      <c r="B886" s="44" t="s">
        <v>1417</v>
      </c>
      <c r="C886" s="44" t="s">
        <v>1532</v>
      </c>
      <c r="D886" s="44" t="s">
        <v>1545</v>
      </c>
      <c r="E886" s="44" t="s">
        <v>129</v>
      </c>
      <c r="F886" s="93" t="s">
        <v>600</v>
      </c>
      <c r="G886" s="93" t="s">
        <v>1660</v>
      </c>
      <c r="H886" s="93">
        <v>70</v>
      </c>
      <c r="I886" s="46"/>
      <c r="J886" s="134">
        <v>46098</v>
      </c>
      <c r="K886" s="95">
        <v>2.2</v>
      </c>
      <c r="L886" s="49">
        <v>0.01</v>
      </c>
      <c r="M886" s="46">
        <f t="shared" si="21"/>
        <v>154</v>
      </c>
      <c r="N886" s="44" t="s">
        <v>519</v>
      </c>
      <c r="O886" s="45">
        <v>46098</v>
      </c>
      <c r="P886" s="53"/>
      <c r="Q886" s="44" t="s">
        <v>513</v>
      </c>
      <c r="R886" s="112">
        <v>46099</v>
      </c>
      <c r="S886" s="44"/>
      <c r="T886" s="44"/>
      <c r="U886" s="44"/>
      <c r="V886" s="44">
        <v>156</v>
      </c>
    </row>
    <row r="887" s="32" customFormat="1" spans="1:22">
      <c r="A887" s="44">
        <v>662</v>
      </c>
      <c r="B887" s="44" t="s">
        <v>1453</v>
      </c>
      <c r="C887" s="44" t="s">
        <v>1597</v>
      </c>
      <c r="D887" s="44" t="s">
        <v>1505</v>
      </c>
      <c r="E887" s="44" t="s">
        <v>129</v>
      </c>
      <c r="F887" s="97" t="s">
        <v>1661</v>
      </c>
      <c r="G887" s="97" t="s">
        <v>1662</v>
      </c>
      <c r="H887" s="97">
        <v>50</v>
      </c>
      <c r="I887" s="97"/>
      <c r="J887" s="134">
        <v>46104</v>
      </c>
      <c r="K887" s="135">
        <v>2</v>
      </c>
      <c r="L887" s="49">
        <v>0.01</v>
      </c>
      <c r="M887" s="46">
        <f t="shared" si="21"/>
        <v>100</v>
      </c>
      <c r="N887" s="44" t="s">
        <v>519</v>
      </c>
      <c r="O887" s="45">
        <v>46099</v>
      </c>
      <c r="P887" s="53"/>
      <c r="Q887" s="44" t="s">
        <v>513</v>
      </c>
      <c r="R887" s="44"/>
      <c r="S887" s="44"/>
      <c r="T887" s="44"/>
      <c r="U887" s="44"/>
      <c r="V887" s="44">
        <v>94</v>
      </c>
    </row>
    <row r="888" s="32" customFormat="1" spans="1:22">
      <c r="A888" s="44">
        <v>663</v>
      </c>
      <c r="B888" s="44" t="s">
        <v>1453</v>
      </c>
      <c r="C888" s="44" t="s">
        <v>1663</v>
      </c>
      <c r="D888" s="44" t="s">
        <v>1505</v>
      </c>
      <c r="E888" s="44" t="s">
        <v>129</v>
      </c>
      <c r="F888" s="93" t="s">
        <v>1664</v>
      </c>
      <c r="G888" s="93" t="s">
        <v>1665</v>
      </c>
      <c r="H888" s="93">
        <v>2</v>
      </c>
      <c r="I888" s="93"/>
      <c r="J888" s="112">
        <v>46104</v>
      </c>
      <c r="K888" s="95">
        <v>10</v>
      </c>
      <c r="L888" s="49">
        <v>0.01</v>
      </c>
      <c r="M888" s="46">
        <f t="shared" si="21"/>
        <v>20</v>
      </c>
      <c r="N888" s="44" t="s">
        <v>519</v>
      </c>
      <c r="O888" s="45">
        <v>46099</v>
      </c>
      <c r="P888" s="53"/>
      <c r="Q888" s="44" t="s">
        <v>513</v>
      </c>
      <c r="R888" s="44"/>
      <c r="S888" s="44"/>
      <c r="T888" s="44"/>
      <c r="U888" s="44"/>
      <c r="V888" s="44">
        <v>18</v>
      </c>
    </row>
    <row r="889" s="32" customFormat="1" spans="1:22">
      <c r="A889" s="44">
        <v>664</v>
      </c>
      <c r="B889" s="44" t="s">
        <v>1453</v>
      </c>
      <c r="C889" s="44" t="s">
        <v>1663</v>
      </c>
      <c r="D889" s="44" t="s">
        <v>1505</v>
      </c>
      <c r="E889" s="44" t="s">
        <v>129</v>
      </c>
      <c r="F889" s="93" t="s">
        <v>1666</v>
      </c>
      <c r="G889" s="93" t="s">
        <v>1667</v>
      </c>
      <c r="H889" s="93">
        <v>1</v>
      </c>
      <c r="I889" s="93"/>
      <c r="J889" s="112">
        <v>46104</v>
      </c>
      <c r="K889" s="95">
        <v>21</v>
      </c>
      <c r="L889" s="49">
        <v>0.01</v>
      </c>
      <c r="M889" s="46">
        <f t="shared" si="21"/>
        <v>21</v>
      </c>
      <c r="N889" s="44" t="s">
        <v>519</v>
      </c>
      <c r="O889" s="45">
        <v>46099</v>
      </c>
      <c r="P889" s="53"/>
      <c r="Q889" s="44" t="s">
        <v>513</v>
      </c>
      <c r="R889" s="44"/>
      <c r="S889" s="44"/>
      <c r="T889" s="44"/>
      <c r="U889" s="44"/>
      <c r="V889" s="44">
        <v>19.7</v>
      </c>
    </row>
    <row r="890" s="32" customFormat="1" spans="1:22">
      <c r="A890" s="44">
        <v>665</v>
      </c>
      <c r="B890" s="44" t="s">
        <v>1453</v>
      </c>
      <c r="C890" s="44" t="s">
        <v>1663</v>
      </c>
      <c r="D890" s="44" t="s">
        <v>1505</v>
      </c>
      <c r="E890" s="44" t="s">
        <v>129</v>
      </c>
      <c r="F890" s="93" t="s">
        <v>1668</v>
      </c>
      <c r="G890" s="93" t="s">
        <v>1669</v>
      </c>
      <c r="H890" s="93">
        <v>1</v>
      </c>
      <c r="I890" s="93"/>
      <c r="J890" s="112">
        <v>46104</v>
      </c>
      <c r="K890" s="95">
        <v>33</v>
      </c>
      <c r="L890" s="49">
        <v>0.01</v>
      </c>
      <c r="M890" s="46">
        <f t="shared" si="21"/>
        <v>33</v>
      </c>
      <c r="N890" s="44" t="s">
        <v>519</v>
      </c>
      <c r="O890" s="45">
        <v>46099</v>
      </c>
      <c r="P890" s="53"/>
      <c r="Q890" s="44" t="s">
        <v>513</v>
      </c>
      <c r="R890" s="44"/>
      <c r="S890" s="44"/>
      <c r="T890" s="44"/>
      <c r="U890" s="44"/>
      <c r="V890" s="44">
        <v>29.6</v>
      </c>
    </row>
    <row r="891" s="32" customFormat="1" spans="1:22">
      <c r="A891" s="44">
        <v>666</v>
      </c>
      <c r="B891" s="44" t="s">
        <v>1453</v>
      </c>
      <c r="C891" s="44" t="s">
        <v>1663</v>
      </c>
      <c r="D891" s="44" t="s">
        <v>1505</v>
      </c>
      <c r="E891" s="44" t="s">
        <v>129</v>
      </c>
      <c r="F891" s="93" t="s">
        <v>1668</v>
      </c>
      <c r="G891" s="93" t="s">
        <v>1670</v>
      </c>
      <c r="H891" s="93">
        <v>1</v>
      </c>
      <c r="I891" s="93"/>
      <c r="J891" s="112">
        <v>46104</v>
      </c>
      <c r="K891" s="95">
        <v>35</v>
      </c>
      <c r="L891" s="49">
        <v>0.01</v>
      </c>
      <c r="M891" s="46">
        <f t="shared" si="21"/>
        <v>35</v>
      </c>
      <c r="N891" s="44" t="s">
        <v>519</v>
      </c>
      <c r="O891" s="45">
        <v>46099</v>
      </c>
      <c r="P891" s="53"/>
      <c r="Q891" s="44" t="s">
        <v>513</v>
      </c>
      <c r="R891" s="44"/>
      <c r="S891" s="44"/>
      <c r="T891" s="44"/>
      <c r="U891" s="44"/>
      <c r="V891" s="44">
        <v>31.9</v>
      </c>
    </row>
    <row r="892" s="32" customFormat="1" spans="1:22">
      <c r="A892" s="44">
        <v>667</v>
      </c>
      <c r="B892" s="44" t="s">
        <v>1453</v>
      </c>
      <c r="C892" s="44" t="s">
        <v>1663</v>
      </c>
      <c r="D892" s="44" t="s">
        <v>1505</v>
      </c>
      <c r="E892" s="44" t="s">
        <v>129</v>
      </c>
      <c r="F892" s="93" t="s">
        <v>1671</v>
      </c>
      <c r="G892" s="93" t="s">
        <v>1672</v>
      </c>
      <c r="H892" s="93">
        <v>2</v>
      </c>
      <c r="I892" s="93"/>
      <c r="J892" s="112">
        <v>46104</v>
      </c>
      <c r="K892" s="95">
        <v>55</v>
      </c>
      <c r="L892" s="49">
        <v>0.01</v>
      </c>
      <c r="M892" s="46">
        <f t="shared" si="21"/>
        <v>110</v>
      </c>
      <c r="N892" s="44" t="s">
        <v>519</v>
      </c>
      <c r="O892" s="45">
        <v>46099</v>
      </c>
      <c r="P892" s="53"/>
      <c r="Q892" s="44" t="s">
        <v>513</v>
      </c>
      <c r="R892" s="44"/>
      <c r="S892" s="44"/>
      <c r="T892" s="44"/>
      <c r="U892" s="44"/>
      <c r="V892" s="44">
        <v>100</v>
      </c>
    </row>
    <row r="893" s="32" customFormat="1" spans="1:22">
      <c r="A893" s="44">
        <v>668</v>
      </c>
      <c r="B893" s="44" t="s">
        <v>1463</v>
      </c>
      <c r="C893" s="44" t="s">
        <v>1504</v>
      </c>
      <c r="D893" s="44" t="s">
        <v>1673</v>
      </c>
      <c r="E893" s="44" t="s">
        <v>129</v>
      </c>
      <c r="F893" s="93" t="s">
        <v>1674</v>
      </c>
      <c r="G893" s="93" t="s">
        <v>1675</v>
      </c>
      <c r="H893" s="93">
        <v>1</v>
      </c>
      <c r="I893" s="93"/>
      <c r="J893" s="112">
        <v>46100</v>
      </c>
      <c r="K893" s="95">
        <v>48.5</v>
      </c>
      <c r="L893" s="49">
        <v>0.01</v>
      </c>
      <c r="M893" s="46">
        <f t="shared" si="21"/>
        <v>48.5</v>
      </c>
      <c r="N893" s="44" t="s">
        <v>519</v>
      </c>
      <c r="O893" s="45">
        <v>46099</v>
      </c>
      <c r="P893" s="53"/>
      <c r="Q893" s="44" t="s">
        <v>513</v>
      </c>
      <c r="R893" s="44"/>
      <c r="S893" s="44"/>
      <c r="T893" s="44"/>
      <c r="U893" s="44"/>
      <c r="V893" s="44">
        <v>44.1</v>
      </c>
    </row>
    <row r="894" s="32" customFormat="1" spans="1:22">
      <c r="A894" s="44">
        <v>669</v>
      </c>
      <c r="B894" s="44" t="s">
        <v>1463</v>
      </c>
      <c r="C894" s="44" t="s">
        <v>1504</v>
      </c>
      <c r="D894" s="44" t="s">
        <v>1673</v>
      </c>
      <c r="E894" s="44" t="s">
        <v>129</v>
      </c>
      <c r="F894" s="93" t="s">
        <v>1674</v>
      </c>
      <c r="G894" s="93" t="s">
        <v>1676</v>
      </c>
      <c r="H894" s="93">
        <v>1</v>
      </c>
      <c r="I894" s="93"/>
      <c r="J894" s="112">
        <v>46100</v>
      </c>
      <c r="K894" s="95">
        <v>48.5</v>
      </c>
      <c r="L894" s="49">
        <v>0.01</v>
      </c>
      <c r="M894" s="46">
        <f t="shared" si="21"/>
        <v>48.5</v>
      </c>
      <c r="N894" s="44" t="s">
        <v>519</v>
      </c>
      <c r="O894" s="45">
        <v>46099</v>
      </c>
      <c r="P894" s="53"/>
      <c r="Q894" s="44" t="s">
        <v>513</v>
      </c>
      <c r="R894" s="44"/>
      <c r="S894" s="44"/>
      <c r="T894" s="44"/>
      <c r="U894" s="44"/>
      <c r="V894" s="44">
        <v>44.1</v>
      </c>
    </row>
    <row r="895" s="32" customFormat="1" spans="1:22">
      <c r="A895" s="44">
        <v>670</v>
      </c>
      <c r="B895" s="44" t="s">
        <v>1463</v>
      </c>
      <c r="C895" s="44" t="s">
        <v>1504</v>
      </c>
      <c r="D895" s="44" t="s">
        <v>1673</v>
      </c>
      <c r="E895" s="44" t="s">
        <v>129</v>
      </c>
      <c r="F895" s="93" t="s">
        <v>1674</v>
      </c>
      <c r="G895" s="93" t="s">
        <v>1677</v>
      </c>
      <c r="H895" s="93">
        <v>1</v>
      </c>
      <c r="I895" s="93"/>
      <c r="J895" s="112">
        <v>46100</v>
      </c>
      <c r="K895" s="95">
        <v>134</v>
      </c>
      <c r="L895" s="49">
        <v>0.01</v>
      </c>
      <c r="M895" s="46">
        <f t="shared" si="21"/>
        <v>134</v>
      </c>
      <c r="N895" s="44" t="s">
        <v>519</v>
      </c>
      <c r="O895" s="45">
        <v>46099</v>
      </c>
      <c r="P895" s="53"/>
      <c r="Q895" s="44" t="s">
        <v>513</v>
      </c>
      <c r="R895" s="44"/>
      <c r="S895" s="44"/>
      <c r="T895" s="44"/>
      <c r="U895" s="44"/>
      <c r="V895" s="44">
        <v>122</v>
      </c>
    </row>
    <row r="896" s="32" customFormat="1" spans="1:22">
      <c r="A896" s="44">
        <v>671</v>
      </c>
      <c r="B896" s="44" t="s">
        <v>1421</v>
      </c>
      <c r="C896" s="44" t="s">
        <v>1678</v>
      </c>
      <c r="D896" s="44" t="s">
        <v>1679</v>
      </c>
      <c r="E896" s="44" t="s">
        <v>129</v>
      </c>
      <c r="F896" s="93" t="s">
        <v>1039</v>
      </c>
      <c r="G896" s="93"/>
      <c r="H896" s="93">
        <v>1</v>
      </c>
      <c r="I896" s="93" t="s">
        <v>109</v>
      </c>
      <c r="J896" s="112">
        <v>46098</v>
      </c>
      <c r="K896" s="95">
        <v>22</v>
      </c>
      <c r="L896" s="49">
        <v>0.01</v>
      </c>
      <c r="M896" s="46">
        <f t="shared" si="21"/>
        <v>22</v>
      </c>
      <c r="N896" s="44" t="s">
        <v>519</v>
      </c>
      <c r="O896" s="45">
        <v>46099</v>
      </c>
      <c r="P896" s="53"/>
      <c r="Q896" s="44" t="s">
        <v>513</v>
      </c>
      <c r="R896" s="44"/>
      <c r="S896" s="44"/>
      <c r="T896" s="44"/>
      <c r="U896" s="44"/>
      <c r="V896" s="44">
        <v>10</v>
      </c>
    </row>
    <row r="897" s="32" customFormat="1" spans="1:22">
      <c r="A897" s="44">
        <v>672</v>
      </c>
      <c r="B897" s="44" t="s">
        <v>1442</v>
      </c>
      <c r="C897" s="44" t="s">
        <v>1532</v>
      </c>
      <c r="D897" s="111" t="s">
        <v>1533</v>
      </c>
      <c r="E897" s="44" t="s">
        <v>129</v>
      </c>
      <c r="F897" s="93" t="s">
        <v>630</v>
      </c>
      <c r="G897" s="93" t="s">
        <v>1680</v>
      </c>
      <c r="H897" s="93">
        <v>1</v>
      </c>
      <c r="I897" s="93" t="s">
        <v>109</v>
      </c>
      <c r="J897" s="112">
        <v>46108</v>
      </c>
      <c r="K897" s="95">
        <v>17</v>
      </c>
      <c r="L897" s="49">
        <v>0.01</v>
      </c>
      <c r="M897" s="46">
        <f t="shared" si="21"/>
        <v>17</v>
      </c>
      <c r="N897" s="44" t="s">
        <v>519</v>
      </c>
      <c r="O897" s="45">
        <v>46099</v>
      </c>
      <c r="P897" s="53"/>
      <c r="Q897" s="44" t="s">
        <v>513</v>
      </c>
      <c r="R897" s="44"/>
      <c r="S897" s="44"/>
      <c r="T897" s="44"/>
      <c r="U897" s="44"/>
      <c r="V897" s="44">
        <v>15</v>
      </c>
    </row>
    <row r="898" s="32" customFormat="1" spans="1:22">
      <c r="A898" s="44">
        <v>673</v>
      </c>
      <c r="B898" s="44" t="s">
        <v>1417</v>
      </c>
      <c r="C898" s="76" t="s">
        <v>1678</v>
      </c>
      <c r="D898" s="32" t="s">
        <v>1588</v>
      </c>
      <c r="E898" s="76" t="s">
        <v>129</v>
      </c>
      <c r="F898" s="96" t="s">
        <v>1681</v>
      </c>
      <c r="G898" s="96" t="s">
        <v>1682</v>
      </c>
      <c r="H898" s="96">
        <v>150</v>
      </c>
      <c r="I898" s="96" t="s">
        <v>109</v>
      </c>
      <c r="J898" s="112">
        <v>46108</v>
      </c>
      <c r="K898" s="95">
        <v>0.4</v>
      </c>
      <c r="L898" s="79">
        <v>0.01</v>
      </c>
      <c r="M898" s="46">
        <f t="shared" si="21"/>
        <v>60</v>
      </c>
      <c r="N898" s="44" t="s">
        <v>519</v>
      </c>
      <c r="O898" s="78">
        <v>46100</v>
      </c>
      <c r="P898" s="116"/>
      <c r="Q898" s="76" t="s">
        <v>513</v>
      </c>
      <c r="R898" s="44"/>
      <c r="S898" s="44"/>
      <c r="T898" s="44"/>
      <c r="U898" s="44"/>
      <c r="V898" s="44">
        <v>30</v>
      </c>
    </row>
    <row r="899" s="32" customFormat="1" spans="1:22">
      <c r="A899" s="44">
        <v>674</v>
      </c>
      <c r="B899" s="44" t="s">
        <v>1582</v>
      </c>
      <c r="C899" s="44" t="s">
        <v>1532</v>
      </c>
      <c r="D899" s="44" t="s">
        <v>1683</v>
      </c>
      <c r="E899" s="44" t="s">
        <v>129</v>
      </c>
      <c r="F899" s="93" t="s">
        <v>1684</v>
      </c>
      <c r="G899" s="93" t="s">
        <v>1685</v>
      </c>
      <c r="H899" s="93">
        <v>10</v>
      </c>
      <c r="I899" s="96" t="s">
        <v>109</v>
      </c>
      <c r="J899" s="112">
        <v>46104</v>
      </c>
      <c r="K899" s="95">
        <v>57.2</v>
      </c>
      <c r="L899" s="49">
        <v>0.01</v>
      </c>
      <c r="M899" s="46">
        <f t="shared" si="21"/>
        <v>572</v>
      </c>
      <c r="N899" s="44" t="s">
        <v>519</v>
      </c>
      <c r="O899" s="45">
        <v>46100</v>
      </c>
      <c r="P899" s="53"/>
      <c r="Q899" s="44" t="s">
        <v>513</v>
      </c>
      <c r="R899" s="44"/>
      <c r="S899" s="44"/>
      <c r="T899" s="44"/>
      <c r="U899" s="44"/>
      <c r="V899" s="44">
        <v>52</v>
      </c>
    </row>
    <row r="900" s="32" customFormat="1" spans="1:22">
      <c r="A900" s="44">
        <v>675</v>
      </c>
      <c r="B900" s="44" t="s">
        <v>1582</v>
      </c>
      <c r="C900" s="76" t="s">
        <v>1678</v>
      </c>
      <c r="D900" s="44" t="s">
        <v>1683</v>
      </c>
      <c r="E900" s="44" t="s">
        <v>129</v>
      </c>
      <c r="F900" s="93" t="s">
        <v>1686</v>
      </c>
      <c r="G900" s="93" t="s">
        <v>1687</v>
      </c>
      <c r="H900" s="93">
        <v>20</v>
      </c>
      <c r="I900" s="96" t="s">
        <v>109</v>
      </c>
      <c r="J900" s="112">
        <v>46104</v>
      </c>
      <c r="K900" s="95">
        <v>2</v>
      </c>
      <c r="L900" s="49">
        <v>0.01</v>
      </c>
      <c r="M900" s="46">
        <f t="shared" si="21"/>
        <v>40</v>
      </c>
      <c r="N900" s="44" t="s">
        <v>519</v>
      </c>
      <c r="O900" s="45">
        <v>46100</v>
      </c>
      <c r="P900" s="53"/>
      <c r="Q900" s="44" t="s">
        <v>513</v>
      </c>
      <c r="R900" s="44"/>
      <c r="S900" s="44"/>
      <c r="T900" s="44"/>
      <c r="U900" s="44"/>
      <c r="V900" s="44">
        <v>36</v>
      </c>
    </row>
    <row r="901" s="32" customFormat="1" ht="23.25" customHeight="1" spans="1:22">
      <c r="A901" s="44">
        <v>676</v>
      </c>
      <c r="B901" s="44" t="s">
        <v>1582</v>
      </c>
      <c r="C901" s="76" t="s">
        <v>1678</v>
      </c>
      <c r="D901" s="44" t="s">
        <v>1683</v>
      </c>
      <c r="E901" s="44" t="s">
        <v>129</v>
      </c>
      <c r="F901" s="93" t="s">
        <v>1688</v>
      </c>
      <c r="G901" s="93" t="s">
        <v>1689</v>
      </c>
      <c r="H901" s="93">
        <v>1</v>
      </c>
      <c r="I901" s="96" t="s">
        <v>109</v>
      </c>
      <c r="J901" s="112">
        <v>46104</v>
      </c>
      <c r="K901" s="95">
        <v>7.5</v>
      </c>
      <c r="L901" s="49">
        <v>0.01</v>
      </c>
      <c r="M901" s="46">
        <f t="shared" si="21"/>
        <v>7.5</v>
      </c>
      <c r="N901" s="44" t="s">
        <v>519</v>
      </c>
      <c r="O901" s="45">
        <v>46100</v>
      </c>
      <c r="P901" s="53"/>
      <c r="Q901" s="44" t="s">
        <v>513</v>
      </c>
      <c r="R901" s="44"/>
      <c r="S901" s="44"/>
      <c r="T901" s="44"/>
      <c r="U901" s="44"/>
      <c r="V901" s="44">
        <v>5.22</v>
      </c>
    </row>
    <row r="902" s="32" customFormat="1" ht="25.9" customHeight="1" spans="1:22">
      <c r="A902" s="44">
        <v>677</v>
      </c>
      <c r="B902" s="44" t="s">
        <v>1582</v>
      </c>
      <c r="C902" s="76" t="s">
        <v>1678</v>
      </c>
      <c r="D902" s="44" t="s">
        <v>1683</v>
      </c>
      <c r="E902" s="44" t="s">
        <v>129</v>
      </c>
      <c r="F902" s="93" t="s">
        <v>1688</v>
      </c>
      <c r="G902" s="93" t="s">
        <v>1690</v>
      </c>
      <c r="H902" s="93">
        <v>1</v>
      </c>
      <c r="I902" s="96" t="s">
        <v>109</v>
      </c>
      <c r="J902" s="112">
        <v>46104</v>
      </c>
      <c r="K902" s="95">
        <v>3</v>
      </c>
      <c r="L902" s="49">
        <v>0.01</v>
      </c>
      <c r="M902" s="46">
        <f t="shared" si="21"/>
        <v>3</v>
      </c>
      <c r="N902" s="44" t="s">
        <v>519</v>
      </c>
      <c r="O902" s="45">
        <v>46100</v>
      </c>
      <c r="P902" s="53"/>
      <c r="Q902" s="44" t="s">
        <v>513</v>
      </c>
      <c r="R902" s="44"/>
      <c r="S902" s="44"/>
      <c r="T902" s="44"/>
      <c r="U902" s="44"/>
      <c r="V902" s="44">
        <v>5.49</v>
      </c>
    </row>
    <row r="903" s="32" customFormat="1" spans="1:22">
      <c r="A903" s="44">
        <v>678</v>
      </c>
      <c r="B903" s="44" t="s">
        <v>1582</v>
      </c>
      <c r="C903" s="76" t="s">
        <v>1678</v>
      </c>
      <c r="D903" s="44" t="s">
        <v>1683</v>
      </c>
      <c r="E903" s="44" t="s">
        <v>129</v>
      </c>
      <c r="F903" s="93" t="s">
        <v>1688</v>
      </c>
      <c r="G903" s="93" t="s">
        <v>1691</v>
      </c>
      <c r="H903" s="93">
        <v>1</v>
      </c>
      <c r="I903" s="96" t="s">
        <v>109</v>
      </c>
      <c r="J903" s="112">
        <v>46104</v>
      </c>
      <c r="K903" s="95">
        <v>3</v>
      </c>
      <c r="L903" s="49">
        <v>0.01</v>
      </c>
      <c r="M903" s="46">
        <f t="shared" si="21"/>
        <v>3</v>
      </c>
      <c r="N903" s="44" t="s">
        <v>519</v>
      </c>
      <c r="O903" s="45">
        <v>46100</v>
      </c>
      <c r="P903" s="53"/>
      <c r="Q903" s="44" t="s">
        <v>513</v>
      </c>
      <c r="R903" s="44"/>
      <c r="S903" s="44"/>
      <c r="T903" s="44"/>
      <c r="U903" s="44"/>
      <c r="V903" s="44">
        <v>1.14</v>
      </c>
    </row>
    <row r="904" s="32" customFormat="1" spans="1:22">
      <c r="A904" s="44">
        <v>679</v>
      </c>
      <c r="B904" s="44" t="s">
        <v>1582</v>
      </c>
      <c r="C904" s="76" t="s">
        <v>1678</v>
      </c>
      <c r="D904" s="44" t="s">
        <v>1683</v>
      </c>
      <c r="E904" s="44" t="s">
        <v>129</v>
      </c>
      <c r="F904" s="93" t="s">
        <v>1692</v>
      </c>
      <c r="G904" s="93" t="s">
        <v>1693</v>
      </c>
      <c r="H904" s="93">
        <v>1</v>
      </c>
      <c r="I904" s="96" t="s">
        <v>109</v>
      </c>
      <c r="J904" s="112">
        <v>46104</v>
      </c>
      <c r="K904" s="95">
        <v>5</v>
      </c>
      <c r="L904" s="49">
        <v>0.01</v>
      </c>
      <c r="M904" s="46">
        <f t="shared" si="21"/>
        <v>5</v>
      </c>
      <c r="N904" s="44" t="s">
        <v>519</v>
      </c>
      <c r="O904" s="45">
        <v>46100</v>
      </c>
      <c r="P904" s="53"/>
      <c r="Q904" s="44" t="s">
        <v>513</v>
      </c>
      <c r="R904" s="44"/>
      <c r="S904" s="44"/>
      <c r="T904" s="44"/>
      <c r="U904" s="44"/>
      <c r="V904" s="44">
        <v>3.1</v>
      </c>
    </row>
    <row r="905" s="32" customFormat="1" spans="1:22">
      <c r="A905" s="44">
        <v>680</v>
      </c>
      <c r="B905" s="44" t="s">
        <v>1582</v>
      </c>
      <c r="C905" s="76" t="s">
        <v>1678</v>
      </c>
      <c r="D905" s="44" t="s">
        <v>1683</v>
      </c>
      <c r="E905" s="44" t="s">
        <v>129</v>
      </c>
      <c r="F905" s="93" t="s">
        <v>1692</v>
      </c>
      <c r="G905" s="93" t="s">
        <v>1694</v>
      </c>
      <c r="H905" s="93">
        <v>1</v>
      </c>
      <c r="I905" s="96" t="s">
        <v>109</v>
      </c>
      <c r="J905" s="112">
        <v>46104</v>
      </c>
      <c r="K905" s="95">
        <v>5</v>
      </c>
      <c r="L905" s="49">
        <v>0.01</v>
      </c>
      <c r="M905" s="46">
        <f t="shared" si="21"/>
        <v>5</v>
      </c>
      <c r="N905" s="44" t="s">
        <v>519</v>
      </c>
      <c r="O905" s="45">
        <v>46100</v>
      </c>
      <c r="P905" s="53"/>
      <c r="Q905" s="44" t="s">
        <v>513</v>
      </c>
      <c r="R905" s="44"/>
      <c r="S905" s="44"/>
      <c r="T905" s="44"/>
      <c r="U905" s="44"/>
      <c r="V905" s="44">
        <v>2.99</v>
      </c>
    </row>
    <row r="906" s="32" customFormat="1" spans="1:22">
      <c r="A906" s="44">
        <v>681</v>
      </c>
      <c r="B906" s="44" t="s">
        <v>1582</v>
      </c>
      <c r="C906" s="76" t="s">
        <v>1678</v>
      </c>
      <c r="D906" s="44" t="s">
        <v>1683</v>
      </c>
      <c r="E906" s="44" t="s">
        <v>129</v>
      </c>
      <c r="F906" s="93" t="s">
        <v>1695</v>
      </c>
      <c r="G906" s="93" t="s">
        <v>1696</v>
      </c>
      <c r="H906" s="93">
        <v>1</v>
      </c>
      <c r="I906" s="96" t="s">
        <v>109</v>
      </c>
      <c r="J906" s="112">
        <v>46104</v>
      </c>
      <c r="K906" s="95">
        <v>4</v>
      </c>
      <c r="L906" s="49">
        <v>0.01</v>
      </c>
      <c r="M906" s="46">
        <f t="shared" si="21"/>
        <v>4</v>
      </c>
      <c r="N906" s="44" t="s">
        <v>519</v>
      </c>
      <c r="O906" s="45">
        <v>46100</v>
      </c>
      <c r="P906" s="53"/>
      <c r="Q906" s="44" t="s">
        <v>513</v>
      </c>
      <c r="R906" s="44"/>
      <c r="S906" s="44"/>
      <c r="T906" s="44"/>
      <c r="U906" s="44"/>
      <c r="V906" s="44">
        <v>2.07</v>
      </c>
    </row>
    <row r="907" s="32" customFormat="1" spans="1:22">
      <c r="A907" s="44">
        <v>682</v>
      </c>
      <c r="B907" s="44" t="s">
        <v>1582</v>
      </c>
      <c r="C907" s="44" t="s">
        <v>1532</v>
      </c>
      <c r="D907" s="44" t="s">
        <v>1683</v>
      </c>
      <c r="E907" s="44" t="s">
        <v>129</v>
      </c>
      <c r="F907" s="93" t="s">
        <v>1697</v>
      </c>
      <c r="G907" s="93" t="s">
        <v>1698</v>
      </c>
      <c r="H907" s="93">
        <v>1</v>
      </c>
      <c r="I907" s="96" t="s">
        <v>109</v>
      </c>
      <c r="J907" s="112">
        <v>46104</v>
      </c>
      <c r="K907" s="95">
        <v>42</v>
      </c>
      <c r="L907" s="49">
        <v>0.01</v>
      </c>
      <c r="M907" s="46">
        <f t="shared" si="21"/>
        <v>42</v>
      </c>
      <c r="N907" s="44" t="s">
        <v>519</v>
      </c>
      <c r="O907" s="45">
        <v>46100</v>
      </c>
      <c r="P907" s="53"/>
      <c r="Q907" s="44" t="s">
        <v>513</v>
      </c>
      <c r="R907" s="44"/>
      <c r="S907" s="44"/>
      <c r="T907" s="44"/>
      <c r="U907" s="44"/>
      <c r="V907" s="44">
        <v>37.7</v>
      </c>
    </row>
    <row r="908" s="32" customFormat="1" spans="1:22">
      <c r="A908" s="44">
        <v>683</v>
      </c>
      <c r="B908" s="44" t="s">
        <v>1582</v>
      </c>
      <c r="C908" s="44" t="s">
        <v>1532</v>
      </c>
      <c r="D908" s="44" t="s">
        <v>1683</v>
      </c>
      <c r="E908" s="44" t="s">
        <v>129</v>
      </c>
      <c r="F908" s="93" t="s">
        <v>1699</v>
      </c>
      <c r="G908" s="93" t="s">
        <v>1700</v>
      </c>
      <c r="H908" s="93">
        <v>1</v>
      </c>
      <c r="I908" s="96" t="s">
        <v>109</v>
      </c>
      <c r="J908" s="112">
        <v>46104</v>
      </c>
      <c r="K908" s="95">
        <v>58.5</v>
      </c>
      <c r="L908" s="49">
        <v>0.01</v>
      </c>
      <c r="M908" s="46">
        <f t="shared" si="21"/>
        <v>58.5</v>
      </c>
      <c r="N908" s="44" t="s">
        <v>519</v>
      </c>
      <c r="O908" s="45">
        <v>46100</v>
      </c>
      <c r="P908" s="53"/>
      <c r="Q908" s="44" t="s">
        <v>513</v>
      </c>
      <c r="R908" s="44"/>
      <c r="S908" s="44"/>
      <c r="T908" s="44"/>
      <c r="U908" s="44"/>
      <c r="V908" s="44">
        <v>53</v>
      </c>
    </row>
    <row r="909" s="32" customFormat="1" spans="1:22">
      <c r="A909" s="44">
        <v>684</v>
      </c>
      <c r="B909" s="44" t="s">
        <v>1406</v>
      </c>
      <c r="C909" s="44" t="s">
        <v>1597</v>
      </c>
      <c r="D909" s="44" t="s">
        <v>1476</v>
      </c>
      <c r="E909" s="44" t="s">
        <v>129</v>
      </c>
      <c r="F909" s="93" t="s">
        <v>1580</v>
      </c>
      <c r="G909" s="93" t="s">
        <v>1701</v>
      </c>
      <c r="H909" s="93">
        <v>1</v>
      </c>
      <c r="I909" s="96" t="s">
        <v>109</v>
      </c>
      <c r="J909" s="112">
        <v>46100</v>
      </c>
      <c r="K909" s="95">
        <v>16</v>
      </c>
      <c r="L909" s="49">
        <v>0.01</v>
      </c>
      <c r="M909" s="46">
        <f t="shared" si="21"/>
        <v>16</v>
      </c>
      <c r="N909" s="44" t="s">
        <v>519</v>
      </c>
      <c r="O909" s="45">
        <v>46100</v>
      </c>
      <c r="P909" s="53"/>
      <c r="Q909" s="44" t="s">
        <v>513</v>
      </c>
      <c r="R909" s="44"/>
      <c r="S909" s="44"/>
      <c r="T909" s="44"/>
      <c r="U909" s="44"/>
      <c r="V909" s="44">
        <v>11</v>
      </c>
    </row>
    <row r="910" s="32" customFormat="1" spans="1:22">
      <c r="A910" s="44">
        <v>685</v>
      </c>
      <c r="B910" s="44" t="s">
        <v>1406</v>
      </c>
      <c r="C910" s="44" t="s">
        <v>1597</v>
      </c>
      <c r="D910" s="44" t="s">
        <v>1476</v>
      </c>
      <c r="E910" s="44" t="s">
        <v>129</v>
      </c>
      <c r="F910" s="93" t="s">
        <v>1580</v>
      </c>
      <c r="G910" s="93" t="s">
        <v>1702</v>
      </c>
      <c r="H910" s="93">
        <v>1</v>
      </c>
      <c r="I910" s="96" t="s">
        <v>109</v>
      </c>
      <c r="J910" s="112">
        <v>46100</v>
      </c>
      <c r="K910" s="95">
        <v>14</v>
      </c>
      <c r="L910" s="49">
        <v>0.01</v>
      </c>
      <c r="M910" s="46">
        <f t="shared" si="21"/>
        <v>14</v>
      </c>
      <c r="N910" s="44" t="s">
        <v>519</v>
      </c>
      <c r="O910" s="45">
        <v>46100</v>
      </c>
      <c r="P910" s="53"/>
      <c r="Q910" s="44" t="s">
        <v>513</v>
      </c>
      <c r="R910" s="44"/>
      <c r="S910" s="44"/>
      <c r="T910" s="44"/>
      <c r="U910" s="44"/>
      <c r="V910" s="44">
        <v>10</v>
      </c>
    </row>
    <row r="911" s="32" customFormat="1" spans="1:22">
      <c r="A911" s="44">
        <v>686</v>
      </c>
      <c r="B911" s="44" t="s">
        <v>1434</v>
      </c>
      <c r="C911" s="44" t="s">
        <v>1632</v>
      </c>
      <c r="D911" s="44" t="s">
        <v>1522</v>
      </c>
      <c r="E911" s="44" t="s">
        <v>129</v>
      </c>
      <c r="F911" s="93" t="s">
        <v>1703</v>
      </c>
      <c r="G911" s="93" t="s">
        <v>1704</v>
      </c>
      <c r="H911" s="93">
        <v>10</v>
      </c>
      <c r="I911" s="96" t="s">
        <v>109</v>
      </c>
      <c r="J911" s="112">
        <v>46105</v>
      </c>
      <c r="K911" s="95">
        <v>11</v>
      </c>
      <c r="L911" s="49">
        <v>0.01</v>
      </c>
      <c r="M911" s="46">
        <f t="shared" si="21"/>
        <v>110</v>
      </c>
      <c r="N911" s="44" t="s">
        <v>519</v>
      </c>
      <c r="O911" s="45">
        <v>46100</v>
      </c>
      <c r="P911" s="53"/>
      <c r="Q911" s="44" t="s">
        <v>513</v>
      </c>
      <c r="R911" s="44"/>
      <c r="S911" s="44"/>
      <c r="T911" s="44"/>
      <c r="U911" s="44"/>
      <c r="V911" s="44">
        <v>90</v>
      </c>
    </row>
    <row r="912" s="32" customFormat="1" spans="1:22">
      <c r="A912" s="44">
        <v>687</v>
      </c>
      <c r="B912" s="44" t="s">
        <v>1582</v>
      </c>
      <c r="C912" s="76" t="s">
        <v>1678</v>
      </c>
      <c r="D912" s="44" t="s">
        <v>1683</v>
      </c>
      <c r="E912" s="44" t="s">
        <v>129</v>
      </c>
      <c r="F912" s="93" t="s">
        <v>1705</v>
      </c>
      <c r="G912" s="93" t="s">
        <v>1706</v>
      </c>
      <c r="H912" s="93">
        <v>1</v>
      </c>
      <c r="I912" s="96" t="s">
        <v>109</v>
      </c>
      <c r="J912" s="112">
        <v>46104</v>
      </c>
      <c r="K912" s="95">
        <v>6</v>
      </c>
      <c r="L912" s="49">
        <v>0.01</v>
      </c>
      <c r="M912" s="46">
        <f t="shared" si="21"/>
        <v>6</v>
      </c>
      <c r="N912" s="44" t="s">
        <v>519</v>
      </c>
      <c r="O912" s="45">
        <v>46100</v>
      </c>
      <c r="P912" s="53"/>
      <c r="Q912" s="44" t="s">
        <v>513</v>
      </c>
      <c r="R912" s="44"/>
      <c r="S912" s="44"/>
      <c r="T912" s="44"/>
      <c r="U912" s="44"/>
      <c r="V912" s="44">
        <v>3.8</v>
      </c>
    </row>
    <row r="913" s="32" customFormat="1" spans="1:22">
      <c r="A913" s="44">
        <v>688</v>
      </c>
      <c r="B913" s="44" t="s">
        <v>1582</v>
      </c>
      <c r="C913" s="76" t="s">
        <v>1678</v>
      </c>
      <c r="D913" s="44" t="s">
        <v>1683</v>
      </c>
      <c r="E913" s="44" t="s">
        <v>129</v>
      </c>
      <c r="F913" s="93" t="s">
        <v>1705</v>
      </c>
      <c r="G913" s="93" t="s">
        <v>1707</v>
      </c>
      <c r="H913" s="93">
        <v>1</v>
      </c>
      <c r="I913" s="96" t="s">
        <v>109</v>
      </c>
      <c r="J913" s="112">
        <v>46104</v>
      </c>
      <c r="K913" s="95">
        <v>4</v>
      </c>
      <c r="L913" s="49">
        <v>0.01</v>
      </c>
      <c r="M913" s="46">
        <f t="shared" si="21"/>
        <v>4</v>
      </c>
      <c r="N913" s="44" t="s">
        <v>519</v>
      </c>
      <c r="O913" s="45">
        <v>46100</v>
      </c>
      <c r="P913" s="53"/>
      <c r="Q913" s="44" t="s">
        <v>513</v>
      </c>
      <c r="R913" s="44"/>
      <c r="S913" s="44"/>
      <c r="T913" s="44"/>
      <c r="U913" s="44"/>
      <c r="V913" s="44">
        <v>2</v>
      </c>
    </row>
    <row r="914" s="32" customFormat="1" spans="1:22">
      <c r="A914" s="44">
        <v>689</v>
      </c>
      <c r="B914" s="44" t="s">
        <v>1582</v>
      </c>
      <c r="C914" s="44" t="s">
        <v>1708</v>
      </c>
      <c r="D914" s="44" t="s">
        <v>1683</v>
      </c>
      <c r="E914" s="44" t="s">
        <v>129</v>
      </c>
      <c r="F914" s="93" t="s">
        <v>1709</v>
      </c>
      <c r="G914" s="93" t="s">
        <v>1710</v>
      </c>
      <c r="H914" s="93">
        <v>15</v>
      </c>
      <c r="I914" s="93" t="s">
        <v>109</v>
      </c>
      <c r="J914" s="112">
        <v>46104</v>
      </c>
      <c r="K914" s="95">
        <v>1.8</v>
      </c>
      <c r="L914" s="49">
        <v>0.01</v>
      </c>
      <c r="M914" s="46">
        <f t="shared" si="21"/>
        <v>27</v>
      </c>
      <c r="N914" s="44" t="s">
        <v>519</v>
      </c>
      <c r="O914" s="45">
        <v>46100</v>
      </c>
      <c r="P914" s="53"/>
      <c r="Q914" s="44" t="s">
        <v>513</v>
      </c>
      <c r="R914" s="44"/>
      <c r="S914" s="44"/>
      <c r="T914" s="44"/>
      <c r="U914" s="44"/>
      <c r="V914" s="44">
        <v>22.5</v>
      </c>
    </row>
    <row r="915" s="32" customFormat="1" spans="1:22">
      <c r="A915" s="44">
        <v>690</v>
      </c>
      <c r="B915" s="44" t="s">
        <v>1521</v>
      </c>
      <c r="C915" s="44" t="s">
        <v>1504</v>
      </c>
      <c r="D915" s="44" t="s">
        <v>1522</v>
      </c>
      <c r="E915" s="44" t="s">
        <v>129</v>
      </c>
      <c r="F915" s="93" t="s">
        <v>1711</v>
      </c>
      <c r="G915" s="93" t="s">
        <v>1712</v>
      </c>
      <c r="H915" s="93">
        <v>1</v>
      </c>
      <c r="I915" s="46"/>
      <c r="J915" s="112">
        <v>46104</v>
      </c>
      <c r="K915" s="95">
        <v>23</v>
      </c>
      <c r="L915" s="49">
        <v>0.01</v>
      </c>
      <c r="M915" s="46">
        <f t="shared" ref="M915:M921" si="22">H915*K915</f>
        <v>23</v>
      </c>
      <c r="N915" s="44" t="s">
        <v>519</v>
      </c>
      <c r="O915" s="45">
        <v>46101</v>
      </c>
      <c r="P915" s="53"/>
      <c r="Q915" s="44" t="s">
        <v>513</v>
      </c>
      <c r="R915" s="44"/>
      <c r="S915" s="44"/>
      <c r="T915" s="44"/>
      <c r="U915" s="44"/>
      <c r="V915" s="44">
        <v>16</v>
      </c>
    </row>
    <row r="916" s="32" customFormat="1" spans="1:22">
      <c r="A916" s="44">
        <v>691</v>
      </c>
      <c r="B916" s="44" t="s">
        <v>1521</v>
      </c>
      <c r="C916" s="44" t="s">
        <v>1504</v>
      </c>
      <c r="D916" s="44" t="s">
        <v>1522</v>
      </c>
      <c r="E916" s="44" t="s">
        <v>129</v>
      </c>
      <c r="F916" s="93" t="s">
        <v>1713</v>
      </c>
      <c r="G916" s="93" t="s">
        <v>1714</v>
      </c>
      <c r="H916" s="93">
        <v>1</v>
      </c>
      <c r="I916" s="46"/>
      <c r="J916" s="112">
        <v>46104</v>
      </c>
      <c r="K916" s="95">
        <v>7</v>
      </c>
      <c r="L916" s="49">
        <v>0.01</v>
      </c>
      <c r="M916" s="46">
        <f t="shared" si="22"/>
        <v>7</v>
      </c>
      <c r="N916" s="44" t="s">
        <v>519</v>
      </c>
      <c r="O916" s="45">
        <v>46101</v>
      </c>
      <c r="P916" s="53"/>
      <c r="Q916" s="44" t="s">
        <v>513</v>
      </c>
      <c r="R916" s="44"/>
      <c r="S916" s="44"/>
      <c r="T916" s="44"/>
      <c r="U916" s="44"/>
      <c r="V916" s="44">
        <v>4.87</v>
      </c>
    </row>
    <row r="917" s="32" customFormat="1" spans="1:22">
      <c r="A917" s="44">
        <v>692</v>
      </c>
      <c r="B917" s="44" t="s">
        <v>1521</v>
      </c>
      <c r="C917" s="44" t="s">
        <v>1504</v>
      </c>
      <c r="D917" s="44" t="s">
        <v>1522</v>
      </c>
      <c r="E917" s="44" t="s">
        <v>129</v>
      </c>
      <c r="F917" s="93" t="s">
        <v>1715</v>
      </c>
      <c r="G917" s="93" t="s">
        <v>1716</v>
      </c>
      <c r="H917" s="93">
        <v>1</v>
      </c>
      <c r="I917" s="46"/>
      <c r="J917" s="112">
        <v>46104</v>
      </c>
      <c r="K917" s="95">
        <v>15</v>
      </c>
      <c r="L917" s="49">
        <v>0.01</v>
      </c>
      <c r="M917" s="46">
        <f t="shared" si="22"/>
        <v>15</v>
      </c>
      <c r="N917" s="44" t="s">
        <v>519</v>
      </c>
      <c r="O917" s="45">
        <v>46101</v>
      </c>
      <c r="P917" s="53"/>
      <c r="Q917" s="44" t="s">
        <v>513</v>
      </c>
      <c r="R917" s="44"/>
      <c r="S917" s="44"/>
      <c r="T917" s="44"/>
      <c r="U917" s="44"/>
      <c r="V917" s="44">
        <v>12.8</v>
      </c>
    </row>
    <row r="918" s="32" customFormat="1" ht="32.25" customHeight="1" spans="1:22">
      <c r="A918" s="44">
        <v>693</v>
      </c>
      <c r="B918" s="44" t="s">
        <v>1717</v>
      </c>
      <c r="C918" s="76" t="s">
        <v>1634</v>
      </c>
      <c r="D918" s="44" t="s">
        <v>1522</v>
      </c>
      <c r="E918" s="44" t="s">
        <v>129</v>
      </c>
      <c r="F918" s="93" t="s">
        <v>1718</v>
      </c>
      <c r="G918" s="93" t="s">
        <v>1719</v>
      </c>
      <c r="H918" s="93">
        <v>5</v>
      </c>
      <c r="I918" s="46" t="s">
        <v>533</v>
      </c>
      <c r="J918" s="112">
        <v>46101</v>
      </c>
      <c r="K918" s="95">
        <v>3.5</v>
      </c>
      <c r="L918" s="49">
        <v>0.01</v>
      </c>
      <c r="M918" s="46">
        <f t="shared" si="22"/>
        <v>17.5</v>
      </c>
      <c r="N918" s="44" t="s">
        <v>519</v>
      </c>
      <c r="O918" s="45">
        <v>46101</v>
      </c>
      <c r="P918" s="53"/>
      <c r="Q918" s="44" t="s">
        <v>513</v>
      </c>
      <c r="R918" s="44"/>
      <c r="S918" s="44"/>
      <c r="T918" s="44"/>
      <c r="U918" s="44"/>
      <c r="V918" s="44">
        <v>20</v>
      </c>
    </row>
    <row r="919" s="32" customFormat="1" spans="1:22">
      <c r="A919" s="44">
        <v>694</v>
      </c>
      <c r="B919" s="44" t="s">
        <v>1717</v>
      </c>
      <c r="C919" s="76" t="s">
        <v>1634</v>
      </c>
      <c r="D919" s="44" t="s">
        <v>1522</v>
      </c>
      <c r="E919" s="44" t="s">
        <v>129</v>
      </c>
      <c r="F919" s="93" t="s">
        <v>1718</v>
      </c>
      <c r="G919" s="93" t="s">
        <v>1720</v>
      </c>
      <c r="H919" s="93">
        <v>2</v>
      </c>
      <c r="I919" s="46" t="s">
        <v>533</v>
      </c>
      <c r="J919" s="112">
        <v>46101</v>
      </c>
      <c r="K919" s="95">
        <v>29</v>
      </c>
      <c r="L919" s="49">
        <v>0.01</v>
      </c>
      <c r="M919" s="46">
        <f t="shared" si="22"/>
        <v>58</v>
      </c>
      <c r="N919" s="44" t="s">
        <v>519</v>
      </c>
      <c r="O919" s="45">
        <v>46101</v>
      </c>
      <c r="P919" s="53"/>
      <c r="Q919" s="44" t="s">
        <v>513</v>
      </c>
      <c r="R919" s="44"/>
      <c r="S919" s="44"/>
      <c r="T919" s="44"/>
      <c r="U919" s="44"/>
      <c r="V919" s="44">
        <v>58</v>
      </c>
    </row>
    <row r="920" s="32" customFormat="1" spans="1:22">
      <c r="A920" s="44">
        <v>695</v>
      </c>
      <c r="B920" s="44" t="s">
        <v>1717</v>
      </c>
      <c r="C920" s="44" t="s">
        <v>1504</v>
      </c>
      <c r="D920" s="44" t="s">
        <v>1522</v>
      </c>
      <c r="E920" s="44" t="s">
        <v>129</v>
      </c>
      <c r="F920" s="93" t="s">
        <v>1721</v>
      </c>
      <c r="G920" s="93" t="s">
        <v>1722</v>
      </c>
      <c r="H920" s="93">
        <v>2</v>
      </c>
      <c r="I920" s="46" t="s">
        <v>533</v>
      </c>
      <c r="J920" s="112">
        <v>46101</v>
      </c>
      <c r="K920" s="95">
        <v>25</v>
      </c>
      <c r="L920" s="49">
        <v>0.01</v>
      </c>
      <c r="M920" s="46">
        <f t="shared" si="22"/>
        <v>50</v>
      </c>
      <c r="N920" s="44" t="s">
        <v>519</v>
      </c>
      <c r="O920" s="45">
        <v>46101</v>
      </c>
      <c r="P920" s="53"/>
      <c r="Q920" s="44" t="s">
        <v>513</v>
      </c>
      <c r="R920" s="44"/>
      <c r="S920" s="44"/>
      <c r="T920" s="44"/>
      <c r="U920" s="44"/>
      <c r="V920" s="44">
        <v>50</v>
      </c>
    </row>
    <row r="921" s="32" customFormat="1" spans="1:22">
      <c r="A921" s="44">
        <v>696</v>
      </c>
      <c r="B921" s="44" t="s">
        <v>1417</v>
      </c>
      <c r="C921" s="44" t="s">
        <v>1532</v>
      </c>
      <c r="D921" s="44"/>
      <c r="E921" s="44" t="s">
        <v>129</v>
      </c>
      <c r="F921" s="93" t="s">
        <v>1723</v>
      </c>
      <c r="G921" s="93" t="s">
        <v>1724</v>
      </c>
      <c r="H921" s="93">
        <v>70</v>
      </c>
      <c r="I921" s="46" t="s">
        <v>247</v>
      </c>
      <c r="J921" s="112">
        <v>46104</v>
      </c>
      <c r="K921" s="95">
        <v>2.8</v>
      </c>
      <c r="L921" s="49">
        <v>0.01</v>
      </c>
      <c r="M921" s="46">
        <f t="shared" si="22"/>
        <v>196</v>
      </c>
      <c r="N921" s="44" t="s">
        <v>519</v>
      </c>
      <c r="O921" s="45">
        <v>46101</v>
      </c>
      <c r="P921" s="53"/>
      <c r="Q921" s="44" t="s">
        <v>513</v>
      </c>
      <c r="R921" s="44"/>
      <c r="S921" s="44"/>
      <c r="T921" s="44"/>
      <c r="U921" s="44"/>
      <c r="V921" s="44">
        <v>172</v>
      </c>
    </row>
    <row r="922" s="32" customFormat="1" spans="1:22">
      <c r="B922" s="44" t="s">
        <v>1406</v>
      </c>
      <c r="C922" s="44" t="s">
        <v>1654</v>
      </c>
      <c r="D922" s="44" t="s">
        <v>1476</v>
      </c>
      <c r="E922" s="44" t="s">
        <v>129</v>
      </c>
      <c r="F922" s="93" t="s">
        <v>1725</v>
      </c>
      <c r="G922" s="93" t="s">
        <v>1726</v>
      </c>
      <c r="H922" s="93">
        <v>1</v>
      </c>
      <c r="I922" s="46" t="s">
        <v>518</v>
      </c>
      <c r="J922" s="112">
        <v>46104</v>
      </c>
      <c r="K922" s="95">
        <v>316</v>
      </c>
      <c r="L922" s="49">
        <v>0.01</v>
      </c>
      <c r="M922" s="46">
        <v>316</v>
      </c>
      <c r="N922" s="44" t="s">
        <v>519</v>
      </c>
      <c r="O922" s="136">
        <v>46105</v>
      </c>
      <c r="P922" s="53"/>
      <c r="Q922" s="44" t="s">
        <v>513</v>
      </c>
      <c r="R922" s="44"/>
      <c r="S922" s="44"/>
      <c r="T922" s="44"/>
      <c r="U922" s="44"/>
      <c r="V922" s="44">
        <v>288</v>
      </c>
    </row>
    <row r="923" s="32" customFormat="1" spans="1:22">
      <c r="B923" s="44" t="s">
        <v>1419</v>
      </c>
      <c r="C923" s="44" t="s">
        <v>1504</v>
      </c>
      <c r="D923" s="44" t="s">
        <v>1727</v>
      </c>
      <c r="E923" s="44" t="s">
        <v>129</v>
      </c>
      <c r="F923" s="93" t="s">
        <v>754</v>
      </c>
      <c r="G923" s="93" t="s">
        <v>1728</v>
      </c>
      <c r="H923" s="93">
        <v>5</v>
      </c>
      <c r="I923" s="46" t="s">
        <v>533</v>
      </c>
      <c r="J923" s="112">
        <v>46111</v>
      </c>
      <c r="K923" s="95">
        <v>19</v>
      </c>
      <c r="L923" s="49">
        <v>0.01</v>
      </c>
      <c r="M923" s="46">
        <v>95</v>
      </c>
      <c r="N923" s="44" t="s">
        <v>519</v>
      </c>
      <c r="O923" s="136">
        <v>46105</v>
      </c>
      <c r="P923" s="53"/>
      <c r="Q923" s="44" t="s">
        <v>513</v>
      </c>
      <c r="R923" s="44"/>
      <c r="S923" s="44"/>
      <c r="T923" s="44"/>
      <c r="U923" s="44"/>
      <c r="V923" s="44">
        <v>80</v>
      </c>
    </row>
    <row r="924" s="32" customFormat="1" spans="1:22">
      <c r="B924" s="44" t="s">
        <v>1442</v>
      </c>
      <c r="C924" s="44" t="s">
        <v>1532</v>
      </c>
      <c r="D924" s="111" t="s">
        <v>1533</v>
      </c>
      <c r="E924" s="44" t="s">
        <v>129</v>
      </c>
      <c r="F924" s="93" t="s">
        <v>630</v>
      </c>
      <c r="G924" s="93" t="s">
        <v>1680</v>
      </c>
      <c r="H924" s="93">
        <v>1</v>
      </c>
      <c r="I924" s="46" t="s">
        <v>109</v>
      </c>
      <c r="J924" s="112">
        <v>46112</v>
      </c>
      <c r="K924" s="95">
        <v>17</v>
      </c>
      <c r="L924" s="49">
        <v>0.01</v>
      </c>
      <c r="M924" s="46">
        <v>17</v>
      </c>
      <c r="N924" s="44" t="s">
        <v>519</v>
      </c>
      <c r="O924" s="136">
        <v>46105</v>
      </c>
      <c r="P924" s="53"/>
      <c r="Q924" s="44" t="s">
        <v>513</v>
      </c>
      <c r="R924" s="44"/>
      <c r="S924" s="44"/>
      <c r="T924" s="44"/>
      <c r="U924" s="44"/>
      <c r="V924" s="44">
        <v>15</v>
      </c>
    </row>
    <row r="925" s="32" customFormat="1" spans="1:22">
      <c r="B925" s="44" t="s">
        <v>1442</v>
      </c>
      <c r="C925" s="44" t="s">
        <v>1532</v>
      </c>
      <c r="D925" s="111" t="s">
        <v>1729</v>
      </c>
      <c r="E925" s="44" t="s">
        <v>129</v>
      </c>
      <c r="F925" s="93" t="s">
        <v>1730</v>
      </c>
      <c r="G925" s="93" t="s">
        <v>1731</v>
      </c>
      <c r="H925" s="93">
        <v>1</v>
      </c>
      <c r="I925" s="46" t="s">
        <v>159</v>
      </c>
      <c r="J925" s="112">
        <v>46108</v>
      </c>
      <c r="K925" s="95">
        <v>33</v>
      </c>
      <c r="L925" s="49">
        <v>0.01</v>
      </c>
      <c r="M925" s="46">
        <v>33</v>
      </c>
      <c r="N925" s="44" t="s">
        <v>519</v>
      </c>
      <c r="O925" s="136">
        <v>46105</v>
      </c>
      <c r="P925" s="53"/>
      <c r="Q925" s="44" t="s">
        <v>513</v>
      </c>
      <c r="R925" s="44"/>
      <c r="S925" s="44"/>
      <c r="T925" s="44"/>
      <c r="U925" s="44"/>
      <c r="V925" s="44">
        <v>30</v>
      </c>
    </row>
    <row r="926" s="32" customFormat="1" spans="1:22">
      <c r="B926" s="44" t="s">
        <v>1442</v>
      </c>
      <c r="C926" s="44" t="s">
        <v>1532</v>
      </c>
      <c r="D926" s="111" t="s">
        <v>1729</v>
      </c>
      <c r="E926" s="44" t="s">
        <v>129</v>
      </c>
      <c r="F926" s="93" t="s">
        <v>1730</v>
      </c>
      <c r="G926" s="93" t="s">
        <v>1732</v>
      </c>
      <c r="H926" s="93">
        <v>1</v>
      </c>
      <c r="I926" s="46" t="s">
        <v>159</v>
      </c>
      <c r="J926" s="112">
        <v>46108</v>
      </c>
      <c r="K926" s="95">
        <v>20</v>
      </c>
      <c r="L926" s="49">
        <v>0.01</v>
      </c>
      <c r="M926" s="46">
        <v>20</v>
      </c>
      <c r="N926" s="44" t="s">
        <v>519</v>
      </c>
      <c r="O926" s="136">
        <v>46105</v>
      </c>
      <c r="P926" s="53"/>
      <c r="Q926" s="44" t="s">
        <v>513</v>
      </c>
      <c r="R926" s="44"/>
      <c r="S926" s="44"/>
      <c r="T926" s="44"/>
      <c r="U926" s="44"/>
      <c r="V926" s="44">
        <v>18</v>
      </c>
    </row>
    <row r="927" s="32" customFormat="1" ht="21.4" customHeight="1" spans="1:22">
      <c r="B927" s="44" t="s">
        <v>1521</v>
      </c>
      <c r="C927" s="44" t="s">
        <v>1475</v>
      </c>
      <c r="D927" s="44" t="s">
        <v>1522</v>
      </c>
      <c r="E927" s="44" t="s">
        <v>129</v>
      </c>
      <c r="F927" s="93" t="s">
        <v>1733</v>
      </c>
      <c r="G927" s="93" t="s">
        <v>1734</v>
      </c>
      <c r="H927" s="93">
        <v>1</v>
      </c>
      <c r="I927" s="46" t="s">
        <v>469</v>
      </c>
      <c r="J927" s="112">
        <v>46111</v>
      </c>
      <c r="K927" s="95">
        <v>440</v>
      </c>
      <c r="L927" s="49">
        <v>0.01</v>
      </c>
      <c r="M927" s="46">
        <f>K927*H927</f>
        <v>440</v>
      </c>
      <c r="N927" s="44" t="s">
        <v>519</v>
      </c>
      <c r="O927" s="45">
        <v>46106</v>
      </c>
      <c r="P927" s="53"/>
      <c r="Q927" s="44" t="s">
        <v>513</v>
      </c>
      <c r="R927" s="44"/>
      <c r="S927" s="44"/>
      <c r="T927" s="44"/>
      <c r="U927" s="44"/>
      <c r="V927" s="46">
        <v>399</v>
      </c>
    </row>
    <row r="928" s="32" customFormat="1" spans="1:22">
      <c r="B928" s="44" t="s">
        <v>507</v>
      </c>
      <c r="C928" s="44" t="s">
        <v>1532</v>
      </c>
      <c r="D928" s="111" t="s">
        <v>1735</v>
      </c>
      <c r="E928" s="44" t="s">
        <v>129</v>
      </c>
      <c r="F928" s="93" t="s">
        <v>1736</v>
      </c>
      <c r="G928" s="93" t="s">
        <v>1737</v>
      </c>
      <c r="H928" s="93">
        <v>15</v>
      </c>
      <c r="I928" s="46" t="s">
        <v>247</v>
      </c>
      <c r="J928" s="112">
        <v>46108</v>
      </c>
      <c r="K928" s="95">
        <v>45</v>
      </c>
      <c r="L928" s="49">
        <v>0.01</v>
      </c>
      <c r="M928" s="46">
        <f t="shared" ref="M928:M950" si="23">K928*H928</f>
        <v>675</v>
      </c>
      <c r="N928" s="44" t="s">
        <v>519</v>
      </c>
      <c r="O928" s="45">
        <v>46106</v>
      </c>
      <c r="P928" s="53"/>
      <c r="Q928" s="44" t="s">
        <v>513</v>
      </c>
      <c r="R928" s="44"/>
      <c r="S928" s="44"/>
      <c r="T928" s="44"/>
      <c r="U928" s="44"/>
      <c r="V928" s="44">
        <v>618.3</v>
      </c>
    </row>
    <row r="929" s="32" customFormat="1" ht="15.75" customHeight="1" spans="2:22">
      <c r="B929" s="44" t="s">
        <v>1406</v>
      </c>
      <c r="C929" s="76" t="s">
        <v>1678</v>
      </c>
      <c r="D929" s="44" t="s">
        <v>1476</v>
      </c>
      <c r="E929" s="44" t="s">
        <v>129</v>
      </c>
      <c r="F929" s="93" t="s">
        <v>1738</v>
      </c>
      <c r="G929" s="93" t="s">
        <v>1739</v>
      </c>
      <c r="H929" s="93">
        <v>2</v>
      </c>
      <c r="I929" s="46" t="s">
        <v>109</v>
      </c>
      <c r="J929" s="112">
        <v>46105</v>
      </c>
      <c r="K929" s="95">
        <v>17</v>
      </c>
      <c r="L929" s="49">
        <v>0.01</v>
      </c>
      <c r="M929" s="46">
        <f t="shared" si="23"/>
        <v>34</v>
      </c>
      <c r="N929" s="44" t="s">
        <v>519</v>
      </c>
      <c r="O929" s="45">
        <v>46106</v>
      </c>
      <c r="P929" s="53"/>
      <c r="Q929" s="44" t="s">
        <v>513</v>
      </c>
      <c r="R929" s="44"/>
      <c r="S929" s="44"/>
      <c r="T929" s="44"/>
      <c r="U929" s="44"/>
      <c r="V929" s="44">
        <v>31</v>
      </c>
    </row>
    <row r="930" s="32" customFormat="1" spans="2:22">
      <c r="B930" s="44" t="s">
        <v>1434</v>
      </c>
      <c r="C930" s="44" t="s">
        <v>1740</v>
      </c>
      <c r="D930" s="44" t="s">
        <v>1741</v>
      </c>
      <c r="E930" s="44" t="s">
        <v>129</v>
      </c>
      <c r="F930" s="93" t="s">
        <v>1742</v>
      </c>
      <c r="G930" s="93"/>
      <c r="H930" s="93">
        <v>3</v>
      </c>
      <c r="I930" s="46" t="s">
        <v>1633</v>
      </c>
      <c r="J930" s="112">
        <v>46112</v>
      </c>
      <c r="K930" s="95">
        <v>21</v>
      </c>
      <c r="L930" s="49">
        <v>0.01</v>
      </c>
      <c r="M930" s="46">
        <f t="shared" si="23"/>
        <v>63</v>
      </c>
      <c r="N930" s="44" t="s">
        <v>519</v>
      </c>
      <c r="O930" s="45">
        <v>46106</v>
      </c>
      <c r="P930" s="53"/>
      <c r="Q930" s="44" t="s">
        <v>513</v>
      </c>
      <c r="R930" s="44"/>
      <c r="S930" s="44"/>
      <c r="T930" s="44"/>
      <c r="U930" s="44"/>
      <c r="V930" s="44">
        <v>56.64</v>
      </c>
    </row>
    <row r="931" s="32" customFormat="1" spans="2:22">
      <c r="B931" s="44" t="s">
        <v>1434</v>
      </c>
      <c r="C931" s="44" t="s">
        <v>1740</v>
      </c>
      <c r="D931" s="44" t="s">
        <v>1522</v>
      </c>
      <c r="E931" s="44" t="s">
        <v>129</v>
      </c>
      <c r="F931" s="93" t="s">
        <v>1743</v>
      </c>
      <c r="G931" s="93"/>
      <c r="H931" s="93">
        <v>2</v>
      </c>
      <c r="I931" s="46" t="s">
        <v>533</v>
      </c>
      <c r="J931" s="112">
        <v>46112</v>
      </c>
      <c r="K931" s="95">
        <v>145</v>
      </c>
      <c r="L931" s="49">
        <v>0.01</v>
      </c>
      <c r="M931" s="46">
        <f t="shared" si="23"/>
        <v>290</v>
      </c>
      <c r="N931" s="44" t="s">
        <v>519</v>
      </c>
      <c r="O931" s="45">
        <v>46106</v>
      </c>
      <c r="P931" s="81"/>
      <c r="Q931" s="44" t="s">
        <v>513</v>
      </c>
      <c r="R931" s="44"/>
      <c r="S931" s="44"/>
      <c r="T931" s="44"/>
      <c r="U931" s="44"/>
      <c r="V931" s="44">
        <v>238</v>
      </c>
    </row>
    <row r="932" s="32" customFormat="1" spans="2:22">
      <c r="B932" s="44" t="s">
        <v>1463</v>
      </c>
      <c r="C932" s="44" t="s">
        <v>1678</v>
      </c>
      <c r="D932" s="44" t="s">
        <v>1673</v>
      </c>
      <c r="E932" s="44" t="s">
        <v>129</v>
      </c>
      <c r="F932" s="93" t="s">
        <v>1744</v>
      </c>
      <c r="G932" s="93" t="s">
        <v>1745</v>
      </c>
      <c r="H932" s="93">
        <v>1</v>
      </c>
      <c r="I932" s="46" t="s">
        <v>109</v>
      </c>
      <c r="J932" s="112">
        <v>46111</v>
      </c>
      <c r="K932" s="95">
        <v>16</v>
      </c>
      <c r="L932" s="49">
        <v>0.01</v>
      </c>
      <c r="M932" s="46">
        <f t="shared" si="23"/>
        <v>16</v>
      </c>
      <c r="N932" s="44" t="s">
        <v>519</v>
      </c>
      <c r="O932" s="45">
        <v>46107</v>
      </c>
      <c r="P932" s="53"/>
      <c r="Q932" s="44" t="s">
        <v>513</v>
      </c>
      <c r="R932" s="44"/>
      <c r="S932" s="44"/>
      <c r="T932" s="44"/>
      <c r="U932" s="44"/>
      <c r="V932" s="44">
        <v>12.29</v>
      </c>
    </row>
    <row r="933" s="32" customFormat="1" spans="2:22">
      <c r="B933" s="44" t="s">
        <v>1746</v>
      </c>
      <c r="C933" s="44" t="s">
        <v>1678</v>
      </c>
      <c r="D933" s="44" t="s">
        <v>1747</v>
      </c>
      <c r="E933" s="44" t="s">
        <v>129</v>
      </c>
      <c r="F933" s="93" t="s">
        <v>1748</v>
      </c>
      <c r="G933" s="93" t="s">
        <v>1749</v>
      </c>
      <c r="H933" s="93">
        <v>1</v>
      </c>
      <c r="I933" s="46" t="s">
        <v>109</v>
      </c>
      <c r="J933" s="112">
        <v>46107</v>
      </c>
      <c r="K933" s="95">
        <v>174</v>
      </c>
      <c r="L933" s="49">
        <v>0.01</v>
      </c>
      <c r="M933" s="46">
        <f t="shared" si="23"/>
        <v>174</v>
      </c>
      <c r="N933" s="44" t="s">
        <v>519</v>
      </c>
      <c r="O933" s="45">
        <v>46107</v>
      </c>
      <c r="P933" s="53"/>
      <c r="Q933" s="44" t="s">
        <v>513</v>
      </c>
      <c r="R933" s="44"/>
      <c r="S933" s="44"/>
      <c r="T933" s="44"/>
      <c r="U933" s="44"/>
      <c r="V933" s="44">
        <v>180</v>
      </c>
    </row>
    <row r="934" s="32" customFormat="1" spans="2:22">
      <c r="B934" s="44" t="s">
        <v>1442</v>
      </c>
      <c r="C934" s="44" t="s">
        <v>1532</v>
      </c>
      <c r="D934" s="111" t="s">
        <v>1561</v>
      </c>
      <c r="E934" s="44" t="s">
        <v>129</v>
      </c>
      <c r="F934" s="93" t="s">
        <v>1750</v>
      </c>
      <c r="G934" s="93" t="s">
        <v>1751</v>
      </c>
      <c r="H934" s="93">
        <v>10</v>
      </c>
      <c r="I934" s="46" t="s">
        <v>109</v>
      </c>
      <c r="J934" s="112">
        <v>46111</v>
      </c>
      <c r="K934" s="95">
        <v>2.3</v>
      </c>
      <c r="L934" s="49">
        <v>0.01</v>
      </c>
      <c r="M934" s="46">
        <f t="shared" si="23"/>
        <v>23</v>
      </c>
      <c r="N934" s="44" t="s">
        <v>519</v>
      </c>
      <c r="O934" s="45">
        <v>46107</v>
      </c>
      <c r="P934" s="53"/>
      <c r="Q934" s="44" t="s">
        <v>513</v>
      </c>
      <c r="R934" s="44"/>
      <c r="S934" s="44"/>
      <c r="T934" s="44"/>
      <c r="U934" s="44"/>
      <c r="V934" s="44">
        <v>20</v>
      </c>
    </row>
    <row r="935" s="32" customFormat="1" spans="2:22">
      <c r="B935" s="44" t="s">
        <v>1442</v>
      </c>
      <c r="C935" s="44" t="s">
        <v>1532</v>
      </c>
      <c r="D935" s="111" t="s">
        <v>1752</v>
      </c>
      <c r="E935" s="44" t="s">
        <v>129</v>
      </c>
      <c r="F935" s="93" t="s">
        <v>1753</v>
      </c>
      <c r="G935" s="93" t="s">
        <v>1754</v>
      </c>
      <c r="H935" s="93">
        <v>10</v>
      </c>
      <c r="I935" s="46" t="s">
        <v>109</v>
      </c>
      <c r="J935" s="112">
        <v>46111</v>
      </c>
      <c r="K935" s="95">
        <v>2.15</v>
      </c>
      <c r="L935" s="49">
        <v>0.01</v>
      </c>
      <c r="M935" s="46">
        <f t="shared" si="23"/>
        <v>21.5</v>
      </c>
      <c r="N935" s="44" t="s">
        <v>519</v>
      </c>
      <c r="O935" s="45">
        <v>46107</v>
      </c>
      <c r="P935" s="53"/>
      <c r="Q935" s="44" t="s">
        <v>513</v>
      </c>
      <c r="R935" s="44"/>
      <c r="S935" s="44"/>
      <c r="T935" s="44"/>
      <c r="U935" s="44"/>
      <c r="V935" s="44">
        <v>15</v>
      </c>
    </row>
    <row r="936" s="32" customFormat="1" spans="2:22">
      <c r="B936" s="44" t="s">
        <v>1746</v>
      </c>
      <c r="C936" s="44" t="s">
        <v>1678</v>
      </c>
      <c r="D936" s="44" t="s">
        <v>1747</v>
      </c>
      <c r="E936" s="44" t="s">
        <v>129</v>
      </c>
      <c r="F936" s="93" t="s">
        <v>1755</v>
      </c>
      <c r="G936" s="93" t="s">
        <v>1756</v>
      </c>
      <c r="H936" s="93">
        <v>2</v>
      </c>
      <c r="I936" s="46" t="s">
        <v>109</v>
      </c>
      <c r="J936" s="112">
        <v>46107</v>
      </c>
      <c r="K936" s="95">
        <v>4</v>
      </c>
      <c r="L936" s="49">
        <v>0.01</v>
      </c>
      <c r="M936" s="46">
        <f t="shared" si="23"/>
        <v>8</v>
      </c>
      <c r="N936" s="44" t="s">
        <v>519</v>
      </c>
      <c r="O936" s="45">
        <v>46107</v>
      </c>
      <c r="P936" s="53"/>
      <c r="Q936" s="44" t="s">
        <v>513</v>
      </c>
      <c r="R936" s="44"/>
      <c r="S936" s="44"/>
      <c r="T936" s="44"/>
      <c r="U936" s="44"/>
      <c r="V936" s="44">
        <v>6</v>
      </c>
    </row>
    <row r="937" s="32" customFormat="1" spans="2:22">
      <c r="B937" s="44" t="s">
        <v>1442</v>
      </c>
      <c r="C937" s="44" t="s">
        <v>1532</v>
      </c>
      <c r="D937" s="111" t="s">
        <v>1757</v>
      </c>
      <c r="E937" s="44" t="s">
        <v>129</v>
      </c>
      <c r="F937" s="93" t="s">
        <v>1758</v>
      </c>
      <c r="G937" s="93" t="s">
        <v>1759</v>
      </c>
      <c r="H937" s="93">
        <v>100</v>
      </c>
      <c r="I937" s="46" t="s">
        <v>109</v>
      </c>
      <c r="J937" s="112">
        <v>46112</v>
      </c>
      <c r="K937" s="95">
        <v>0.3</v>
      </c>
      <c r="L937" s="49">
        <v>0.01</v>
      </c>
      <c r="M937" s="46">
        <f t="shared" si="23"/>
        <v>30</v>
      </c>
      <c r="N937" s="44" t="s">
        <v>519</v>
      </c>
      <c r="O937" s="45">
        <v>46107</v>
      </c>
      <c r="P937" s="53"/>
      <c r="Q937" s="44" t="s">
        <v>513</v>
      </c>
      <c r="R937" s="44"/>
      <c r="S937" s="44"/>
      <c r="T937" s="44"/>
      <c r="U937" s="44"/>
      <c r="V937" s="44">
        <v>24</v>
      </c>
    </row>
    <row r="938" s="32" customFormat="1" spans="2:22">
      <c r="B938" s="44" t="s">
        <v>1421</v>
      </c>
      <c r="C938" s="44" t="s">
        <v>1678</v>
      </c>
      <c r="D938" s="44" t="s">
        <v>1760</v>
      </c>
      <c r="E938" s="44" t="s">
        <v>129</v>
      </c>
      <c r="F938" s="94" t="s">
        <v>1760</v>
      </c>
      <c r="G938" s="137"/>
      <c r="H938" s="94">
        <v>1</v>
      </c>
      <c r="I938" s="46" t="s">
        <v>109</v>
      </c>
      <c r="J938" s="112">
        <v>46111</v>
      </c>
      <c r="K938" s="95">
        <v>176</v>
      </c>
      <c r="L938" s="49">
        <v>0.01</v>
      </c>
      <c r="M938" s="46">
        <f t="shared" si="23"/>
        <v>176</v>
      </c>
      <c r="N938" s="44" t="s">
        <v>519</v>
      </c>
      <c r="O938" s="45">
        <v>46108</v>
      </c>
      <c r="P938" s="53"/>
      <c r="Q938" s="44" t="s">
        <v>513</v>
      </c>
      <c r="R938" s="44"/>
      <c r="S938" s="44"/>
      <c r="T938" s="44"/>
      <c r="U938" s="44"/>
      <c r="V938" s="44">
        <v>160</v>
      </c>
    </row>
    <row r="939" s="32" customFormat="1" spans="2:22">
      <c r="B939" s="44" t="s">
        <v>1412</v>
      </c>
      <c r="C939" s="44" t="s">
        <v>1504</v>
      </c>
      <c r="D939" s="44" t="s">
        <v>1522</v>
      </c>
      <c r="E939" s="44" t="s">
        <v>129</v>
      </c>
      <c r="F939" s="94" t="s">
        <v>948</v>
      </c>
      <c r="G939" s="137" t="s">
        <v>1761</v>
      </c>
      <c r="H939" s="94">
        <v>1</v>
      </c>
      <c r="I939" s="46" t="s">
        <v>533</v>
      </c>
      <c r="J939" s="112">
        <v>46112</v>
      </c>
      <c r="K939" s="95">
        <v>19</v>
      </c>
      <c r="L939" s="49">
        <v>0.01</v>
      </c>
      <c r="M939" s="46">
        <f t="shared" si="23"/>
        <v>19</v>
      </c>
      <c r="N939" s="44" t="s">
        <v>519</v>
      </c>
      <c r="O939" s="45">
        <v>46108</v>
      </c>
      <c r="P939" s="53"/>
      <c r="Q939" s="44" t="s">
        <v>513</v>
      </c>
      <c r="R939" s="44"/>
      <c r="S939" s="44"/>
      <c r="T939" s="44"/>
      <c r="U939" s="44"/>
      <c r="V939" s="44">
        <v>36</v>
      </c>
    </row>
    <row r="940" s="32" customFormat="1" spans="2:22">
      <c r="B940" s="44" t="s">
        <v>1412</v>
      </c>
      <c r="C940" s="44" t="s">
        <v>1504</v>
      </c>
      <c r="D940" s="44" t="s">
        <v>1522</v>
      </c>
      <c r="E940" s="44" t="s">
        <v>129</v>
      </c>
      <c r="F940" s="94" t="s">
        <v>948</v>
      </c>
      <c r="G940" s="137" t="s">
        <v>1762</v>
      </c>
      <c r="H940" s="94">
        <v>1</v>
      </c>
      <c r="I940" s="46" t="s">
        <v>533</v>
      </c>
      <c r="J940" s="112">
        <v>46112</v>
      </c>
      <c r="K940" s="95">
        <v>21</v>
      </c>
      <c r="L940" s="49">
        <v>0.01</v>
      </c>
      <c r="M940" s="46">
        <f t="shared" si="23"/>
        <v>21</v>
      </c>
      <c r="N940" s="44" t="s">
        <v>519</v>
      </c>
      <c r="O940" s="45">
        <v>46108</v>
      </c>
      <c r="P940" s="53"/>
      <c r="Q940" s="44" t="s">
        <v>513</v>
      </c>
      <c r="R940" s="44"/>
      <c r="S940" s="44"/>
      <c r="T940" s="44"/>
      <c r="U940" s="44"/>
      <c r="V940" s="44"/>
    </row>
    <row r="941" s="32" customFormat="1" spans="2:22">
      <c r="B941" s="44" t="s">
        <v>1582</v>
      </c>
      <c r="C941" s="44" t="s">
        <v>1678</v>
      </c>
      <c r="D941" s="44" t="s">
        <v>1747</v>
      </c>
      <c r="E941" s="44" t="s">
        <v>129</v>
      </c>
      <c r="F941" s="94" t="s">
        <v>1763</v>
      </c>
      <c r="G941" s="124" t="s">
        <v>1764</v>
      </c>
      <c r="H941" s="94">
        <v>1</v>
      </c>
      <c r="I941" s="46" t="s">
        <v>533</v>
      </c>
      <c r="J941" s="112">
        <v>46111</v>
      </c>
      <c r="K941" s="95">
        <v>10</v>
      </c>
      <c r="L941" s="49">
        <v>0.01</v>
      </c>
      <c r="M941" s="46">
        <f t="shared" si="23"/>
        <v>10</v>
      </c>
      <c r="N941" s="44" t="s">
        <v>519</v>
      </c>
      <c r="O941" s="45">
        <v>46108</v>
      </c>
      <c r="P941" s="53"/>
      <c r="Q941" s="44" t="s">
        <v>513</v>
      </c>
      <c r="R941" s="44"/>
      <c r="S941" s="44"/>
      <c r="T941" s="44"/>
      <c r="U941" s="44"/>
      <c r="V941" s="44">
        <v>7.6</v>
      </c>
    </row>
    <row r="942" s="32" customFormat="1" spans="2:22">
      <c r="B942" s="44" t="s">
        <v>1582</v>
      </c>
      <c r="C942" s="44" t="s">
        <v>1678</v>
      </c>
      <c r="D942" s="44" t="s">
        <v>1747</v>
      </c>
      <c r="E942" s="44" t="s">
        <v>129</v>
      </c>
      <c r="F942" s="94" t="s">
        <v>1763</v>
      </c>
      <c r="G942" s="137" t="s">
        <v>1765</v>
      </c>
      <c r="H942" s="94">
        <v>1</v>
      </c>
      <c r="I942" s="46" t="s">
        <v>533</v>
      </c>
      <c r="J942" s="112">
        <v>46111</v>
      </c>
      <c r="K942" s="95">
        <v>12</v>
      </c>
      <c r="L942" s="49">
        <v>0.01</v>
      </c>
      <c r="M942" s="46">
        <f t="shared" si="23"/>
        <v>12</v>
      </c>
      <c r="N942" s="44" t="s">
        <v>519</v>
      </c>
      <c r="O942" s="45">
        <v>46108</v>
      </c>
      <c r="P942" s="53"/>
      <c r="Q942" s="44" t="s">
        <v>513</v>
      </c>
      <c r="R942" s="44"/>
      <c r="S942" s="44"/>
      <c r="T942" s="44"/>
      <c r="U942" s="44"/>
      <c r="V942" s="44">
        <v>8.3</v>
      </c>
    </row>
    <row r="943" s="32" customFormat="1" spans="2:22">
      <c r="B943" s="44" t="s">
        <v>1409</v>
      </c>
      <c r="C943" s="44" t="s">
        <v>1766</v>
      </c>
      <c r="D943" s="44" t="s">
        <v>1767</v>
      </c>
      <c r="E943" s="44" t="s">
        <v>129</v>
      </c>
      <c r="F943" s="94" t="s">
        <v>517</v>
      </c>
      <c r="G943" s="137" t="s">
        <v>1768</v>
      </c>
      <c r="H943" s="94">
        <v>1</v>
      </c>
      <c r="I943" s="46" t="s">
        <v>518</v>
      </c>
      <c r="J943" s="112">
        <v>46111</v>
      </c>
      <c r="K943" s="95">
        <v>3085</v>
      </c>
      <c r="L943" s="49">
        <v>0.01</v>
      </c>
      <c r="M943" s="46">
        <f t="shared" si="23"/>
        <v>3085</v>
      </c>
      <c r="N943" s="44" t="s">
        <v>519</v>
      </c>
      <c r="O943" s="45">
        <v>46108</v>
      </c>
      <c r="P943" s="53"/>
      <c r="Q943" s="44" t="s">
        <v>513</v>
      </c>
      <c r="R943" s="44"/>
      <c r="S943" s="44"/>
      <c r="T943" s="44"/>
      <c r="U943" s="44"/>
      <c r="V943" s="44">
        <v>3085</v>
      </c>
    </row>
    <row r="944" s="32" customFormat="1" spans="2:22">
      <c r="B944" s="76" t="s">
        <v>1746</v>
      </c>
      <c r="C944" s="76" t="s">
        <v>1504</v>
      </c>
      <c r="D944" s="76" t="s">
        <v>1747</v>
      </c>
      <c r="E944" s="76" t="s">
        <v>129</v>
      </c>
      <c r="F944" s="96" t="s">
        <v>1769</v>
      </c>
      <c r="G944" s="127" t="s">
        <v>1770</v>
      </c>
      <c r="H944" s="96">
        <v>1</v>
      </c>
      <c r="I944" s="128" t="s">
        <v>109</v>
      </c>
      <c r="J944" s="78">
        <v>46111</v>
      </c>
      <c r="K944" s="106">
        <v>6</v>
      </c>
      <c r="L944" s="79">
        <v>0.01</v>
      </c>
      <c r="M944" s="128">
        <f t="shared" si="23"/>
        <v>6</v>
      </c>
      <c r="N944" s="76" t="s">
        <v>519</v>
      </c>
      <c r="O944" s="78">
        <v>46111</v>
      </c>
      <c r="P944" s="81"/>
      <c r="Q944" s="76" t="s">
        <v>513</v>
      </c>
      <c r="R944" s="76"/>
      <c r="S944" s="76"/>
      <c r="T944" s="76"/>
      <c r="U944" s="76"/>
      <c r="V944" s="76">
        <v>9.07</v>
      </c>
    </row>
    <row r="945" spans="1:22">
      <c r="A945" s="39"/>
      <c r="B945" s="39" t="s">
        <v>1412</v>
      </c>
      <c r="C945" s="39" t="s">
        <v>1532</v>
      </c>
      <c r="D945" s="39" t="s">
        <v>1771</v>
      </c>
      <c r="E945" s="39" t="s">
        <v>129</v>
      </c>
      <c r="F945" s="138" t="s">
        <v>882</v>
      </c>
      <c r="G945" s="138" t="s">
        <v>1772</v>
      </c>
      <c r="H945" s="138">
        <v>6</v>
      </c>
      <c r="I945" s="139" t="s">
        <v>109</v>
      </c>
      <c r="J945" s="140">
        <v>46115</v>
      </c>
      <c r="K945" s="141">
        <v>6.1</v>
      </c>
      <c r="L945" s="142">
        <v>0.01</v>
      </c>
      <c r="M945" s="139">
        <f t="shared" si="23"/>
        <v>36.6</v>
      </c>
      <c r="N945" s="39" t="s">
        <v>519</v>
      </c>
      <c r="O945" s="140">
        <v>46111</v>
      </c>
      <c r="P945" s="143"/>
      <c r="Q945" s="39" t="s">
        <v>513</v>
      </c>
      <c r="R945" s="39"/>
      <c r="S945" s="39"/>
      <c r="T945" s="39"/>
      <c r="U945" s="39"/>
      <c r="V945" s="39">
        <v>90</v>
      </c>
    </row>
    <row r="946" spans="1:22">
      <c r="A946" s="39"/>
      <c r="B946" s="39" t="s">
        <v>1412</v>
      </c>
      <c r="C946" s="39" t="s">
        <v>1532</v>
      </c>
      <c r="D946" s="39" t="s">
        <v>1771</v>
      </c>
      <c r="E946" s="39" t="s">
        <v>129</v>
      </c>
      <c r="F946" s="138" t="s">
        <v>882</v>
      </c>
      <c r="G946" s="138" t="s">
        <v>1773</v>
      </c>
      <c r="H946" s="138">
        <v>6</v>
      </c>
      <c r="I946" s="139" t="s">
        <v>109</v>
      </c>
      <c r="J946" s="140">
        <v>46115</v>
      </c>
      <c r="K946" s="141">
        <v>5.9</v>
      </c>
      <c r="L946" s="142">
        <v>0.01</v>
      </c>
      <c r="M946" s="139">
        <f t="shared" si="23"/>
        <v>35.4</v>
      </c>
      <c r="N946" s="39" t="s">
        <v>519</v>
      </c>
      <c r="O946" s="140">
        <v>46111</v>
      </c>
      <c r="P946" s="143"/>
      <c r="Q946" s="39" t="s">
        <v>513</v>
      </c>
      <c r="R946" s="39"/>
      <c r="S946" s="39"/>
      <c r="T946" s="39"/>
      <c r="U946" s="39"/>
      <c r="V946" s="39"/>
    </row>
    <row r="947" spans="1:22">
      <c r="A947" s="39"/>
      <c r="B947" s="39" t="s">
        <v>1412</v>
      </c>
      <c r="C947" s="39" t="s">
        <v>1532</v>
      </c>
      <c r="D947" s="39" t="s">
        <v>1771</v>
      </c>
      <c r="E947" s="39" t="s">
        <v>129</v>
      </c>
      <c r="F947" s="138" t="s">
        <v>882</v>
      </c>
      <c r="G947" s="138" t="s">
        <v>1774</v>
      </c>
      <c r="H947" s="138">
        <v>6</v>
      </c>
      <c r="I947" s="139" t="s">
        <v>109</v>
      </c>
      <c r="J947" s="140">
        <v>46115</v>
      </c>
      <c r="K947" s="141">
        <v>6</v>
      </c>
      <c r="L947" s="142">
        <v>0.01</v>
      </c>
      <c r="M947" s="139">
        <f t="shared" si="23"/>
        <v>36</v>
      </c>
      <c r="N947" s="39" t="s">
        <v>519</v>
      </c>
      <c r="O947" s="140">
        <v>46111</v>
      </c>
      <c r="P947" s="143"/>
      <c r="Q947" s="39" t="s">
        <v>513</v>
      </c>
      <c r="R947" s="39"/>
      <c r="S947" s="39"/>
      <c r="T947" s="39"/>
      <c r="U947" s="39"/>
      <c r="V947" s="39"/>
    </row>
    <row r="948" s="32" customFormat="1" spans="1:22">
      <c r="B948" s="82" t="s">
        <v>1406</v>
      </c>
      <c r="C948" s="82" t="s">
        <v>1678</v>
      </c>
      <c r="D948" s="82" t="s">
        <v>1522</v>
      </c>
      <c r="E948" s="82" t="s">
        <v>129</v>
      </c>
      <c r="F948" s="97" t="s">
        <v>1775</v>
      </c>
      <c r="G948" s="144" t="s">
        <v>1776</v>
      </c>
      <c r="H948" s="97">
        <v>3</v>
      </c>
      <c r="I948" s="145" t="s">
        <v>533</v>
      </c>
      <c r="J948" s="134">
        <v>46111</v>
      </c>
      <c r="K948" s="135">
        <v>120</v>
      </c>
      <c r="L948" s="84">
        <v>0.01</v>
      </c>
      <c r="M948" s="145">
        <f t="shared" si="23"/>
        <v>360</v>
      </c>
      <c r="N948" s="82" t="s">
        <v>519</v>
      </c>
      <c r="O948" s="51">
        <v>46111</v>
      </c>
      <c r="P948" s="52"/>
      <c r="Q948" s="82" t="s">
        <v>513</v>
      </c>
      <c r="R948" s="82"/>
      <c r="S948" s="82"/>
      <c r="T948" s="82"/>
      <c r="U948" s="82"/>
      <c r="V948" s="82">
        <v>321</v>
      </c>
    </row>
    <row r="949" s="32" customFormat="1" ht="33" spans="1:22">
      <c r="B949" s="44" t="s">
        <v>1406</v>
      </c>
      <c r="C949" s="44" t="s">
        <v>1475</v>
      </c>
      <c r="D949" s="44" t="s">
        <v>1476</v>
      </c>
      <c r="E949" s="44" t="s">
        <v>129</v>
      </c>
      <c r="F949" s="63" t="s">
        <v>1777</v>
      </c>
      <c r="G949" s="63" t="s">
        <v>1778</v>
      </c>
      <c r="H949" s="65">
        <v>1</v>
      </c>
      <c r="I949" s="65" t="s">
        <v>58</v>
      </c>
      <c r="J949" s="112">
        <v>46108</v>
      </c>
      <c r="K949" s="62">
        <v>145.6</v>
      </c>
      <c r="L949" s="49">
        <v>0.01</v>
      </c>
      <c r="M949" s="46">
        <f t="shared" si="23"/>
        <v>145.6</v>
      </c>
      <c r="N949" s="44" t="s">
        <v>312</v>
      </c>
      <c r="O949" s="45">
        <v>46112</v>
      </c>
      <c r="P949" s="53" t="s">
        <v>1779</v>
      </c>
      <c r="Q949" s="44" t="s">
        <v>513</v>
      </c>
      <c r="R949" s="44"/>
      <c r="S949" s="44"/>
      <c r="T949" s="44"/>
      <c r="U949" s="44"/>
      <c r="V949" s="44">
        <v>146</v>
      </c>
    </row>
    <row r="950" s="32" customFormat="1" spans="1:22">
      <c r="B950" s="44" t="s">
        <v>1780</v>
      </c>
      <c r="C950" s="44" t="s">
        <v>1648</v>
      </c>
      <c r="D950" s="44" t="s">
        <v>1781</v>
      </c>
      <c r="E950" s="44" t="s">
        <v>129</v>
      </c>
      <c r="F950" s="46" t="s">
        <v>1782</v>
      </c>
      <c r="G950" s="47" t="s">
        <v>1783</v>
      </c>
      <c r="H950" s="46">
        <v>20</v>
      </c>
      <c r="I950" s="46" t="s">
        <v>109</v>
      </c>
      <c r="J950" s="112">
        <v>46111</v>
      </c>
      <c r="K950" s="46">
        <v>60</v>
      </c>
      <c r="L950" s="49">
        <v>0.13</v>
      </c>
      <c r="M950" s="46">
        <f t="shared" si="23"/>
        <v>1200</v>
      </c>
      <c r="N950" s="44" t="s">
        <v>1784</v>
      </c>
      <c r="O950" s="45">
        <v>46107</v>
      </c>
      <c r="P950" s="53" t="s">
        <v>1785</v>
      </c>
      <c r="Q950" s="44" t="s">
        <v>513</v>
      </c>
      <c r="R950" s="44"/>
      <c r="S950" s="44" t="s">
        <v>1786</v>
      </c>
      <c r="T950" s="44" t="s">
        <v>1502</v>
      </c>
      <c r="U950" s="44" t="s">
        <v>1502</v>
      </c>
      <c r="V950" s="44"/>
    </row>
    <row r="951" s="32" customFormat="1" ht="17.25" customHeight="1" spans="1:22">
      <c r="B951" s="44" t="s">
        <v>1465</v>
      </c>
      <c r="C951" s="44" t="s">
        <v>1787</v>
      </c>
      <c r="D951" s="44" t="s">
        <v>1788</v>
      </c>
      <c r="E951" s="44" t="s">
        <v>129</v>
      </c>
      <c r="F951" s="44" t="s">
        <v>1789</v>
      </c>
      <c r="G951" s="44" t="s">
        <v>1790</v>
      </c>
      <c r="H951" s="44">
        <v>98</v>
      </c>
      <c r="I951" s="44" t="s">
        <v>131</v>
      </c>
      <c r="J951" s="112">
        <v>46111</v>
      </c>
      <c r="K951" s="46">
        <v>18.8</v>
      </c>
      <c r="L951" s="49">
        <v>0.13</v>
      </c>
      <c r="M951" s="46">
        <v>1842</v>
      </c>
      <c r="N951" s="44" t="s">
        <v>305</v>
      </c>
      <c r="O951" s="45">
        <v>46108</v>
      </c>
      <c r="P951" s="53" t="s">
        <v>1791</v>
      </c>
      <c r="Q951" s="44" t="s">
        <v>513</v>
      </c>
      <c r="R951" s="44"/>
      <c r="S951" s="44"/>
      <c r="T951" s="44"/>
      <c r="U951" s="44"/>
      <c r="V951" s="44"/>
    </row>
    <row r="952" s="32" customFormat="1" spans="1:22">
      <c r="B952" s="44" t="s">
        <v>1792</v>
      </c>
      <c r="C952" s="44" t="s">
        <v>1504</v>
      </c>
      <c r="D952" s="44" t="s">
        <v>337</v>
      </c>
      <c r="E952" s="44" t="s">
        <v>129</v>
      </c>
      <c r="F952" s="44" t="s">
        <v>1793</v>
      </c>
      <c r="G952" s="44" t="s">
        <v>1794</v>
      </c>
      <c r="H952" s="44">
        <v>50</v>
      </c>
      <c r="I952" s="44" t="s">
        <v>236</v>
      </c>
      <c r="J952" s="112">
        <v>46111</v>
      </c>
      <c r="K952" s="62">
        <v>2.5</v>
      </c>
      <c r="L952" s="49">
        <v>0.13</v>
      </c>
      <c r="M952" s="46">
        <f>H952*K952</f>
        <v>125</v>
      </c>
      <c r="N952" s="44" t="s">
        <v>1795</v>
      </c>
      <c r="O952" s="45">
        <v>46106</v>
      </c>
      <c r="P952" s="53" t="s">
        <v>1796</v>
      </c>
      <c r="Q952" s="44" t="s">
        <v>513</v>
      </c>
      <c r="R952" s="44"/>
      <c r="S952" s="44" t="s">
        <v>402</v>
      </c>
      <c r="T952" s="44" t="s">
        <v>1502</v>
      </c>
      <c r="U952" s="44"/>
      <c r="V952" s="44"/>
    </row>
    <row r="953" s="32" customFormat="1" spans="1:22">
      <c r="B953" s="44" t="s">
        <v>1792</v>
      </c>
      <c r="C953" s="44" t="s">
        <v>1504</v>
      </c>
      <c r="D953" s="44" t="s">
        <v>337</v>
      </c>
      <c r="E953" s="44" t="s">
        <v>129</v>
      </c>
      <c r="F953" s="44" t="s">
        <v>1793</v>
      </c>
      <c r="G953" s="44" t="s">
        <v>1797</v>
      </c>
      <c r="H953" s="44">
        <v>100</v>
      </c>
      <c r="I953" s="44" t="s">
        <v>236</v>
      </c>
      <c r="J953" s="112">
        <v>46111</v>
      </c>
      <c r="K953" s="62">
        <v>2</v>
      </c>
      <c r="L953" s="49">
        <v>0.13</v>
      </c>
      <c r="M953" s="46">
        <f>H953*K953</f>
        <v>200</v>
      </c>
      <c r="N953" s="44" t="s">
        <v>1795</v>
      </c>
      <c r="O953" s="45">
        <v>46111</v>
      </c>
      <c r="P953" s="53" t="s">
        <v>1796</v>
      </c>
      <c r="Q953" s="44" t="s">
        <v>513</v>
      </c>
      <c r="R953" s="44"/>
      <c r="S953" s="44" t="s">
        <v>402</v>
      </c>
      <c r="T953" s="44" t="s">
        <v>1502</v>
      </c>
      <c r="U953" s="44"/>
      <c r="V953" s="44"/>
    </row>
    <row r="954" s="32" customFormat="1" spans="1:22">
      <c r="B954" s="44" t="s">
        <v>1582</v>
      </c>
      <c r="C954" s="44" t="s">
        <v>1514</v>
      </c>
      <c r="D954" s="44" t="s">
        <v>1747</v>
      </c>
      <c r="E954" s="44" t="s">
        <v>129</v>
      </c>
      <c r="F954" s="44" t="s">
        <v>1798</v>
      </c>
      <c r="G954" s="44" t="s">
        <v>1799</v>
      </c>
      <c r="H954" s="44">
        <v>1</v>
      </c>
      <c r="I954" s="44" t="s">
        <v>109</v>
      </c>
      <c r="J954" s="112">
        <v>46112</v>
      </c>
      <c r="K954" s="62">
        <v>245</v>
      </c>
      <c r="L954" s="49">
        <v>0.13</v>
      </c>
      <c r="M954" s="46">
        <f t="shared" ref="M954:M961" si="24">H954*K954</f>
        <v>245</v>
      </c>
      <c r="N954" s="44" t="s">
        <v>271</v>
      </c>
      <c r="O954" s="45">
        <v>46111</v>
      </c>
      <c r="P954" s="53" t="s">
        <v>1800</v>
      </c>
      <c r="Q954" s="44" t="s">
        <v>513</v>
      </c>
      <c r="R954" s="44"/>
      <c r="S954" s="146" t="s">
        <v>402</v>
      </c>
      <c r="T954" s="44">
        <v>26.5</v>
      </c>
      <c r="U954" s="44"/>
      <c r="V954" s="44"/>
    </row>
    <row r="955" s="32" customFormat="1" spans="1:22">
      <c r="B955" s="44" t="s">
        <v>1582</v>
      </c>
      <c r="C955" s="44" t="s">
        <v>1514</v>
      </c>
      <c r="D955" s="44" t="s">
        <v>1747</v>
      </c>
      <c r="E955" s="44" t="s">
        <v>129</v>
      </c>
      <c r="F955" s="44" t="s">
        <v>1801</v>
      </c>
      <c r="G955" s="44">
        <v>6061</v>
      </c>
      <c r="H955" s="44">
        <v>1</v>
      </c>
      <c r="I955" s="44" t="s">
        <v>109</v>
      </c>
      <c r="J955" s="112">
        <v>46112</v>
      </c>
      <c r="K955" s="62">
        <v>135</v>
      </c>
      <c r="L955" s="49">
        <v>0.13</v>
      </c>
      <c r="M955" s="46">
        <f t="shared" si="24"/>
        <v>135</v>
      </c>
      <c r="N955" s="44" t="s">
        <v>271</v>
      </c>
      <c r="O955" s="45">
        <v>46111</v>
      </c>
      <c r="P955" s="53" t="s">
        <v>1800</v>
      </c>
      <c r="Q955" s="44" t="s">
        <v>513</v>
      </c>
      <c r="R955" s="44"/>
      <c r="S955" s="146" t="s">
        <v>402</v>
      </c>
      <c r="T955" s="44">
        <v>26.5</v>
      </c>
      <c r="U955" s="44"/>
      <c r="V955" s="44"/>
    </row>
    <row r="956" s="32" customFormat="1" spans="1:22">
      <c r="B956" s="44" t="s">
        <v>1582</v>
      </c>
      <c r="C956" s="44" t="s">
        <v>1514</v>
      </c>
      <c r="D956" s="44" t="s">
        <v>1747</v>
      </c>
      <c r="E956" s="44" t="s">
        <v>129</v>
      </c>
      <c r="F956" s="44" t="s">
        <v>1802</v>
      </c>
      <c r="G956" s="44">
        <v>6061</v>
      </c>
      <c r="H956" s="44">
        <v>1</v>
      </c>
      <c r="I956" s="44" t="s">
        <v>109</v>
      </c>
      <c r="J956" s="112">
        <v>46112</v>
      </c>
      <c r="K956" s="62">
        <v>135</v>
      </c>
      <c r="L956" s="49">
        <v>0.13</v>
      </c>
      <c r="M956" s="46">
        <f t="shared" si="24"/>
        <v>135</v>
      </c>
      <c r="N956" s="44" t="s">
        <v>271</v>
      </c>
      <c r="O956" s="45">
        <v>46111</v>
      </c>
      <c r="P956" s="53" t="s">
        <v>1800</v>
      </c>
      <c r="Q956" s="44" t="s">
        <v>513</v>
      </c>
      <c r="R956" s="44"/>
      <c r="S956" s="146" t="s">
        <v>402</v>
      </c>
      <c r="T956" s="44">
        <v>26.5</v>
      </c>
      <c r="U956" s="44"/>
      <c r="V956" s="44"/>
    </row>
    <row r="957" s="32" customFormat="1" spans="1:22">
      <c r="B957" s="76" t="s">
        <v>1582</v>
      </c>
      <c r="C957" s="76" t="s">
        <v>1514</v>
      </c>
      <c r="D957" s="76" t="s">
        <v>1747</v>
      </c>
      <c r="E957" s="76" t="s">
        <v>129</v>
      </c>
      <c r="F957" s="76" t="s">
        <v>1803</v>
      </c>
      <c r="G957" s="76">
        <v>6061</v>
      </c>
      <c r="H957" s="76">
        <v>1</v>
      </c>
      <c r="I957" s="76" t="s">
        <v>109</v>
      </c>
      <c r="J957" s="113">
        <v>46112</v>
      </c>
      <c r="K957" s="119">
        <v>135</v>
      </c>
      <c r="L957" s="79">
        <v>0.13</v>
      </c>
      <c r="M957" s="128">
        <f t="shared" si="24"/>
        <v>135</v>
      </c>
      <c r="N957" s="76" t="s">
        <v>271</v>
      </c>
      <c r="O957" s="78">
        <v>46111</v>
      </c>
      <c r="P957" s="81" t="s">
        <v>1800</v>
      </c>
      <c r="Q957" s="76" t="s">
        <v>513</v>
      </c>
      <c r="R957" s="76"/>
      <c r="S957" s="146" t="s">
        <v>402</v>
      </c>
      <c r="T957" s="44">
        <v>26.5</v>
      </c>
      <c r="U957" s="76"/>
      <c r="V957" s="76"/>
    </row>
    <row r="958" ht="21.4" customHeight="1" spans="1:22">
      <c r="A958" s="39"/>
      <c r="B958" s="39" t="s">
        <v>1780</v>
      </c>
      <c r="C958" s="39" t="s">
        <v>1605</v>
      </c>
      <c r="D958" s="39" t="s">
        <v>1804</v>
      </c>
      <c r="E958" s="39" t="s">
        <v>129</v>
      </c>
      <c r="F958" s="39" t="s">
        <v>1805</v>
      </c>
      <c r="G958" s="39" t="s">
        <v>1806</v>
      </c>
      <c r="H958" s="39">
        <v>265.2</v>
      </c>
      <c r="I958" s="39" t="s">
        <v>131</v>
      </c>
      <c r="J958" s="147">
        <v>46113</v>
      </c>
      <c r="K958" s="148">
        <v>49.45</v>
      </c>
      <c r="L958" s="142">
        <v>0.13</v>
      </c>
      <c r="M958" s="139">
        <f>K958*H958</f>
        <v>13114.14</v>
      </c>
      <c r="N958" s="39" t="s">
        <v>1807</v>
      </c>
      <c r="O958" s="140">
        <v>46111</v>
      </c>
      <c r="P958" s="143" t="s">
        <v>1808</v>
      </c>
      <c r="Q958" s="39" t="s">
        <v>513</v>
      </c>
      <c r="R958" s="140">
        <v>46114</v>
      </c>
      <c r="S958" s="39" t="s">
        <v>1809</v>
      </c>
      <c r="T958" s="39" t="s">
        <v>1539</v>
      </c>
      <c r="U958" s="39"/>
      <c r="V958" s="39"/>
    </row>
    <row r="959" ht="21.4" customHeight="1" spans="1:22">
      <c r="A959" s="39"/>
      <c r="B959" s="39" t="s">
        <v>1780</v>
      </c>
      <c r="C959" s="39" t="s">
        <v>1605</v>
      </c>
      <c r="D959" s="39" t="s">
        <v>1804</v>
      </c>
      <c r="E959" s="39" t="s">
        <v>129</v>
      </c>
      <c r="F959" s="39" t="s">
        <v>1810</v>
      </c>
      <c r="G959" s="39"/>
      <c r="H959" s="39">
        <v>10</v>
      </c>
      <c r="I959" s="39" t="s">
        <v>58</v>
      </c>
      <c r="J959" s="147">
        <v>46113</v>
      </c>
      <c r="K959" s="148">
        <v>230</v>
      </c>
      <c r="L959" s="142">
        <v>0.13</v>
      </c>
      <c r="M959" s="139">
        <f>K959*H959</f>
        <v>2300</v>
      </c>
      <c r="N959" s="39" t="s">
        <v>1807</v>
      </c>
      <c r="O959" s="140">
        <v>46111</v>
      </c>
      <c r="P959" s="143" t="s">
        <v>1808</v>
      </c>
      <c r="Q959" s="39" t="s">
        <v>513</v>
      </c>
      <c r="R959" s="140">
        <v>46114</v>
      </c>
      <c r="S959" s="39" t="s">
        <v>1809</v>
      </c>
      <c r="T959" s="39" t="s">
        <v>1539</v>
      </c>
      <c r="U959" s="39"/>
      <c r="V959" s="39"/>
    </row>
    <row r="960" s="32" customFormat="1" spans="1:22">
      <c r="B960" s="82" t="s">
        <v>1406</v>
      </c>
      <c r="C960" s="82" t="s">
        <v>1632</v>
      </c>
      <c r="D960" s="82" t="s">
        <v>1522</v>
      </c>
      <c r="E960" s="82" t="s">
        <v>129</v>
      </c>
      <c r="F960" s="82" t="s">
        <v>455</v>
      </c>
      <c r="G960" s="82" t="s">
        <v>456</v>
      </c>
      <c r="H960" s="82">
        <v>5</v>
      </c>
      <c r="I960" s="82" t="s">
        <v>457</v>
      </c>
      <c r="J960" s="134">
        <v>46030</v>
      </c>
      <c r="K960" s="149">
        <v>13</v>
      </c>
      <c r="L960" s="84">
        <v>0.01</v>
      </c>
      <c r="M960" s="145">
        <f t="shared" si="24"/>
        <v>65</v>
      </c>
      <c r="N960" s="82" t="s">
        <v>312</v>
      </c>
      <c r="O960" s="51">
        <v>46112</v>
      </c>
      <c r="P960" s="52" t="s">
        <v>1811</v>
      </c>
      <c r="Q960" s="82" t="s">
        <v>513</v>
      </c>
      <c r="R960" s="51">
        <v>46113</v>
      </c>
      <c r="S960" s="82"/>
      <c r="T960" s="82"/>
      <c r="U960" s="82"/>
      <c r="V960" s="82"/>
    </row>
    <row r="961" s="32" customFormat="1" spans="1:22">
      <c r="B961" s="44" t="s">
        <v>1406</v>
      </c>
      <c r="C961" s="44" t="s">
        <v>1632</v>
      </c>
      <c r="D961" s="44" t="s">
        <v>1522</v>
      </c>
      <c r="E961" s="44" t="s">
        <v>129</v>
      </c>
      <c r="F961" s="44" t="s">
        <v>505</v>
      </c>
      <c r="G961" s="44" t="s">
        <v>374</v>
      </c>
      <c r="H961" s="44">
        <v>10</v>
      </c>
      <c r="I961" s="44" t="s">
        <v>457</v>
      </c>
      <c r="J961" s="112">
        <v>46030</v>
      </c>
      <c r="K961" s="62">
        <v>35</v>
      </c>
      <c r="L961" s="49">
        <v>0.01</v>
      </c>
      <c r="M961" s="46">
        <f t="shared" si="24"/>
        <v>350</v>
      </c>
      <c r="N961" s="44" t="s">
        <v>312</v>
      </c>
      <c r="O961" s="45">
        <v>46112</v>
      </c>
      <c r="P961" s="53" t="s">
        <v>1811</v>
      </c>
      <c r="Q961" s="44" t="s">
        <v>513</v>
      </c>
      <c r="R961" s="45">
        <v>46113</v>
      </c>
      <c r="S961" s="44"/>
      <c r="T961" s="44"/>
      <c r="U961" s="44"/>
      <c r="V961" s="44"/>
    </row>
    <row r="962" s="32" customFormat="1" spans="1:22">
      <c r="B962" s="44" t="s">
        <v>1406</v>
      </c>
      <c r="C962" s="44" t="s">
        <v>1475</v>
      </c>
      <c r="D962" s="44" t="s">
        <v>1476</v>
      </c>
      <c r="E962" s="44" t="s">
        <v>129</v>
      </c>
      <c r="F962" s="44" t="s">
        <v>1812</v>
      </c>
      <c r="G962" s="44" t="s">
        <v>1813</v>
      </c>
      <c r="H962" s="44">
        <v>100</v>
      </c>
      <c r="I962" s="44" t="s">
        <v>454</v>
      </c>
      <c r="J962" s="112">
        <v>46112</v>
      </c>
      <c r="K962" s="62">
        <v>112</v>
      </c>
      <c r="L962" s="49">
        <v>0.01</v>
      </c>
      <c r="M962" s="46">
        <f>K962</f>
        <v>112</v>
      </c>
      <c r="N962" s="44" t="s">
        <v>312</v>
      </c>
      <c r="O962" s="45">
        <v>46112</v>
      </c>
      <c r="P962" s="53" t="s">
        <v>1811</v>
      </c>
      <c r="Q962" s="44" t="s">
        <v>513</v>
      </c>
      <c r="R962" s="45">
        <v>46113</v>
      </c>
      <c r="S962" s="44"/>
      <c r="T962" s="44"/>
      <c r="U962" s="44"/>
      <c r="V962" s="44"/>
    </row>
    <row r="963" s="32" customFormat="1" spans="1:22">
      <c r="B963" s="44" t="s">
        <v>1406</v>
      </c>
      <c r="C963" s="44" t="s">
        <v>1475</v>
      </c>
      <c r="D963" s="44" t="s">
        <v>1476</v>
      </c>
      <c r="E963" s="44" t="s">
        <v>129</v>
      </c>
      <c r="F963" s="44" t="s">
        <v>1814</v>
      </c>
      <c r="G963" s="44" t="s">
        <v>1815</v>
      </c>
      <c r="H963" s="44">
        <v>250</v>
      </c>
      <c r="I963" s="44" t="s">
        <v>454</v>
      </c>
      <c r="J963" s="112">
        <v>46112</v>
      </c>
      <c r="K963" s="62">
        <v>25.9</v>
      </c>
      <c r="L963" s="49">
        <v>0.01</v>
      </c>
      <c r="M963" s="46">
        <f t="shared" ref="M963:M966" si="25">K963</f>
        <v>25.9</v>
      </c>
      <c r="N963" s="44" t="s">
        <v>312</v>
      </c>
      <c r="O963" s="45">
        <v>46112</v>
      </c>
      <c r="P963" s="53" t="s">
        <v>1811</v>
      </c>
      <c r="Q963" s="44" t="s">
        <v>513</v>
      </c>
      <c r="R963" s="45">
        <v>46113</v>
      </c>
      <c r="S963" s="44"/>
      <c r="T963" s="44"/>
      <c r="U963" s="44"/>
      <c r="V963" s="44"/>
    </row>
    <row r="964" s="32" customFormat="1" spans="1:22">
      <c r="B964" s="44" t="s">
        <v>1406</v>
      </c>
      <c r="C964" s="44" t="s">
        <v>1475</v>
      </c>
      <c r="D964" s="44" t="s">
        <v>1476</v>
      </c>
      <c r="E964" s="44" t="s">
        <v>129</v>
      </c>
      <c r="F964" s="44" t="s">
        <v>1816</v>
      </c>
      <c r="G964" s="44" t="s">
        <v>1817</v>
      </c>
      <c r="H964" s="44">
        <v>500</v>
      </c>
      <c r="I964" s="44" t="s">
        <v>454</v>
      </c>
      <c r="J964" s="112">
        <v>46112</v>
      </c>
      <c r="K964" s="62">
        <v>33.6</v>
      </c>
      <c r="L964" s="49">
        <v>0.01</v>
      </c>
      <c r="M964" s="46">
        <f t="shared" si="25"/>
        <v>33.6</v>
      </c>
      <c r="N964" s="44" t="s">
        <v>312</v>
      </c>
      <c r="O964" s="45">
        <v>46112</v>
      </c>
      <c r="P964" s="53" t="s">
        <v>1811</v>
      </c>
      <c r="Q964" s="44" t="s">
        <v>513</v>
      </c>
      <c r="R964" s="45">
        <v>46113</v>
      </c>
      <c r="S964" s="44"/>
      <c r="T964" s="44"/>
      <c r="U964" s="44"/>
      <c r="V964" s="44"/>
    </row>
    <row r="965" s="32" customFormat="1" spans="1:22">
      <c r="B965" s="44" t="s">
        <v>1406</v>
      </c>
      <c r="C965" s="44" t="s">
        <v>1475</v>
      </c>
      <c r="D965" s="44" t="s">
        <v>1476</v>
      </c>
      <c r="E965" s="44" t="s">
        <v>129</v>
      </c>
      <c r="F965" s="44" t="s">
        <v>1818</v>
      </c>
      <c r="G965" s="44" t="s">
        <v>1819</v>
      </c>
      <c r="H965" s="44">
        <v>500</v>
      </c>
      <c r="I965" s="44" t="s">
        <v>454</v>
      </c>
      <c r="J965" s="112">
        <v>46112</v>
      </c>
      <c r="K965" s="62">
        <v>89.6</v>
      </c>
      <c r="L965" s="49">
        <v>0.01</v>
      </c>
      <c r="M965" s="46">
        <f t="shared" si="25"/>
        <v>89.6</v>
      </c>
      <c r="N965" s="44" t="s">
        <v>312</v>
      </c>
      <c r="O965" s="45">
        <v>46112</v>
      </c>
      <c r="P965" s="53" t="s">
        <v>1811</v>
      </c>
      <c r="Q965" s="44" t="s">
        <v>513</v>
      </c>
      <c r="R965" s="45">
        <v>46113</v>
      </c>
      <c r="S965" s="44"/>
      <c r="T965" s="44"/>
      <c r="U965" s="44"/>
      <c r="V965" s="44"/>
    </row>
    <row r="966" s="32" customFormat="1" spans="1:22">
      <c r="B966" s="76" t="s">
        <v>1406</v>
      </c>
      <c r="C966" s="76" t="s">
        <v>1475</v>
      </c>
      <c r="D966" s="76" t="s">
        <v>1476</v>
      </c>
      <c r="E966" s="76" t="s">
        <v>129</v>
      </c>
      <c r="F966" s="76" t="s">
        <v>1820</v>
      </c>
      <c r="G966" s="76" t="s">
        <v>1821</v>
      </c>
      <c r="H966" s="76">
        <v>500</v>
      </c>
      <c r="I966" s="76" t="s">
        <v>454</v>
      </c>
      <c r="J966" s="113">
        <v>46112</v>
      </c>
      <c r="K966" s="119">
        <v>36.4</v>
      </c>
      <c r="L966" s="79">
        <v>0.01</v>
      </c>
      <c r="M966" s="128">
        <f t="shared" si="25"/>
        <v>36.4</v>
      </c>
      <c r="N966" s="76" t="s">
        <v>312</v>
      </c>
      <c r="O966" s="78">
        <v>46112</v>
      </c>
      <c r="P966" s="81" t="s">
        <v>1811</v>
      </c>
      <c r="Q966" s="76" t="s">
        <v>513</v>
      </c>
      <c r="R966" s="78">
        <v>46113</v>
      </c>
      <c r="S966" s="76"/>
      <c r="T966" s="76"/>
      <c r="U966" s="76"/>
      <c r="V966" s="76"/>
    </row>
    <row r="967" spans="1:22">
      <c r="A967" s="39"/>
      <c r="B967" s="150" t="s">
        <v>1423</v>
      </c>
      <c r="C967" s="39" t="s">
        <v>1532</v>
      </c>
      <c r="D967" s="151" t="s">
        <v>1822</v>
      </c>
      <c r="E967" s="39" t="s">
        <v>129</v>
      </c>
      <c r="F967" s="39" t="s">
        <v>1823</v>
      </c>
      <c r="G967" s="39" t="s">
        <v>1824</v>
      </c>
      <c r="H967" s="39">
        <v>2</v>
      </c>
      <c r="I967" s="39"/>
      <c r="J967" s="147">
        <v>46115</v>
      </c>
      <c r="K967" s="152">
        <v>31</v>
      </c>
      <c r="L967" s="142">
        <v>0.01</v>
      </c>
      <c r="M967" s="139">
        <v>62</v>
      </c>
      <c r="N967" s="39" t="s">
        <v>519</v>
      </c>
      <c r="O967" s="140">
        <v>46113</v>
      </c>
      <c r="P967" s="143"/>
      <c r="Q967" s="39" t="s">
        <v>513</v>
      </c>
      <c r="R967" s="140">
        <v>46113</v>
      </c>
      <c r="S967" s="39" t="s">
        <v>402</v>
      </c>
      <c r="T967" s="39">
        <v>26.5</v>
      </c>
      <c r="U967" s="39"/>
      <c r="V967" s="39">
        <v>50.81</v>
      </c>
    </row>
    <row r="968" spans="1:22">
      <c r="A968" s="39"/>
      <c r="B968" s="150" t="s">
        <v>1423</v>
      </c>
      <c r="C968" s="39" t="s">
        <v>1532</v>
      </c>
      <c r="D968" s="151" t="s">
        <v>1822</v>
      </c>
      <c r="E968" s="39" t="s">
        <v>129</v>
      </c>
      <c r="F968" s="39" t="s">
        <v>1825</v>
      </c>
      <c r="G968" s="39" t="s">
        <v>1826</v>
      </c>
      <c r="H968" s="39">
        <v>2</v>
      </c>
      <c r="I968" s="39"/>
      <c r="J968" s="147">
        <v>46115</v>
      </c>
      <c r="K968" s="152">
        <v>33</v>
      </c>
      <c r="L968" s="142">
        <v>0.01</v>
      </c>
      <c r="M968" s="139">
        <v>66</v>
      </c>
      <c r="N968" s="39" t="s">
        <v>519</v>
      </c>
      <c r="O968" s="140">
        <v>46113</v>
      </c>
      <c r="P968" s="143"/>
      <c r="Q968" s="39" t="s">
        <v>513</v>
      </c>
      <c r="R968" s="39"/>
      <c r="S968" s="39" t="s">
        <v>402</v>
      </c>
      <c r="T968" s="39">
        <v>26.5</v>
      </c>
      <c r="U968" s="39"/>
      <c r="V968" s="39">
        <v>60</v>
      </c>
    </row>
    <row r="969" spans="1:22">
      <c r="A969" s="39"/>
      <c r="B969" s="150" t="s">
        <v>1423</v>
      </c>
      <c r="C969" s="39" t="s">
        <v>1532</v>
      </c>
      <c r="D969" s="151" t="s">
        <v>1822</v>
      </c>
      <c r="E969" s="39" t="s">
        <v>129</v>
      </c>
      <c r="F969" s="39" t="s">
        <v>1827</v>
      </c>
      <c r="G969" s="39" t="s">
        <v>1828</v>
      </c>
      <c r="H969" s="39">
        <v>2</v>
      </c>
      <c r="I969" s="39"/>
      <c r="J969" s="147">
        <v>46115</v>
      </c>
      <c r="K969" s="152">
        <v>13.5</v>
      </c>
      <c r="L969" s="142">
        <v>0.01</v>
      </c>
      <c r="M969" s="139">
        <v>27</v>
      </c>
      <c r="N969" s="39" t="s">
        <v>519</v>
      </c>
      <c r="O969" s="140">
        <v>46113</v>
      </c>
      <c r="P969" s="143"/>
      <c r="Q969" s="39" t="s">
        <v>513</v>
      </c>
      <c r="R969" s="39"/>
      <c r="S969" s="39" t="s">
        <v>402</v>
      </c>
      <c r="T969" s="39">
        <v>26.5</v>
      </c>
      <c r="U969" s="39"/>
      <c r="V969" s="39">
        <v>29</v>
      </c>
    </row>
    <row r="970" ht="27.75" customHeight="1" spans="1:22">
      <c r="A970" s="39"/>
      <c r="B970" s="150" t="s">
        <v>1423</v>
      </c>
      <c r="C970" s="39" t="s">
        <v>1532</v>
      </c>
      <c r="D970" s="151" t="s">
        <v>1822</v>
      </c>
      <c r="E970" s="39" t="s">
        <v>129</v>
      </c>
      <c r="F970" s="39" t="s">
        <v>1827</v>
      </c>
      <c r="G970" s="39" t="s">
        <v>1829</v>
      </c>
      <c r="H970" s="39">
        <v>2</v>
      </c>
      <c r="I970" s="39"/>
      <c r="J970" s="147">
        <v>46115</v>
      </c>
      <c r="K970" s="152">
        <v>14.5</v>
      </c>
      <c r="L970" s="142">
        <v>0.01</v>
      </c>
      <c r="M970" s="139">
        <v>29</v>
      </c>
      <c r="N970" s="39" t="s">
        <v>519</v>
      </c>
      <c r="O970" s="140">
        <v>46113</v>
      </c>
      <c r="P970" s="143"/>
      <c r="Q970" s="39" t="s">
        <v>513</v>
      </c>
      <c r="R970" s="39"/>
      <c r="S970" s="39" t="s">
        <v>402</v>
      </c>
      <c r="T970" s="39">
        <v>26.5</v>
      </c>
      <c r="U970" s="39"/>
      <c r="V970" s="39">
        <v>25</v>
      </c>
    </row>
    <row r="971" spans="1:22">
      <c r="A971" s="39"/>
      <c r="B971" s="150" t="s">
        <v>1423</v>
      </c>
      <c r="C971" s="39" t="s">
        <v>1532</v>
      </c>
      <c r="D971" s="151" t="s">
        <v>1822</v>
      </c>
      <c r="E971" s="39" t="s">
        <v>129</v>
      </c>
      <c r="F971" s="39" t="s">
        <v>1830</v>
      </c>
      <c r="G971" s="39" t="s">
        <v>1831</v>
      </c>
      <c r="H971" s="39">
        <v>1</v>
      </c>
      <c r="I971" s="39"/>
      <c r="J971" s="147">
        <v>46115</v>
      </c>
      <c r="K971" s="152">
        <v>55</v>
      </c>
      <c r="L971" s="142">
        <v>0.01</v>
      </c>
      <c r="M971" s="139">
        <v>55</v>
      </c>
      <c r="N971" s="39" t="s">
        <v>519</v>
      </c>
      <c r="O971" s="140">
        <v>46113</v>
      </c>
      <c r="P971" s="143"/>
      <c r="Q971" s="39" t="s">
        <v>513</v>
      </c>
      <c r="R971" s="39"/>
      <c r="S971" s="39" t="s">
        <v>402</v>
      </c>
      <c r="T971" s="39">
        <v>26.5</v>
      </c>
      <c r="U971" s="39"/>
      <c r="V971" s="39">
        <v>50.35</v>
      </c>
    </row>
    <row r="972" spans="1:22">
      <c r="A972" s="39"/>
      <c r="B972" s="150" t="s">
        <v>1423</v>
      </c>
      <c r="C972" s="39" t="s">
        <v>1648</v>
      </c>
      <c r="D972" s="151" t="s">
        <v>1822</v>
      </c>
      <c r="E972" s="39" t="s">
        <v>129</v>
      </c>
      <c r="F972" s="39" t="s">
        <v>1832</v>
      </c>
      <c r="G972" s="39" t="s">
        <v>1833</v>
      </c>
      <c r="H972" s="39">
        <v>3</v>
      </c>
      <c r="I972" s="39"/>
      <c r="J972" s="147">
        <v>46115</v>
      </c>
      <c r="K972" s="152">
        <v>33</v>
      </c>
      <c r="L972" s="142">
        <v>0.01</v>
      </c>
      <c r="M972" s="139">
        <v>99</v>
      </c>
      <c r="N972" s="39" t="s">
        <v>519</v>
      </c>
      <c r="O972" s="140">
        <v>46113</v>
      </c>
      <c r="P972" s="143"/>
      <c r="Q972" s="39" t="s">
        <v>513</v>
      </c>
      <c r="R972" s="39"/>
      <c r="S972" s="39" t="s">
        <v>402</v>
      </c>
      <c r="T972" s="39">
        <v>26.5</v>
      </c>
      <c r="U972" s="39"/>
      <c r="V972" s="39">
        <v>88.67</v>
      </c>
    </row>
    <row r="973" spans="1:22">
      <c r="A973" s="39"/>
      <c r="B973" s="150" t="s">
        <v>1423</v>
      </c>
      <c r="C973" s="39" t="s">
        <v>1532</v>
      </c>
      <c r="D973" s="151" t="s">
        <v>1822</v>
      </c>
      <c r="E973" s="39" t="s">
        <v>129</v>
      </c>
      <c r="F973" s="39" t="s">
        <v>1834</v>
      </c>
      <c r="G973" s="39" t="s">
        <v>1390</v>
      </c>
      <c r="H973" s="39">
        <v>10</v>
      </c>
      <c r="I973" s="39"/>
      <c r="J973" s="147">
        <v>46115</v>
      </c>
      <c r="K973" s="152">
        <v>12</v>
      </c>
      <c r="L973" s="142">
        <v>0.01</v>
      </c>
      <c r="M973" s="139">
        <v>120</v>
      </c>
      <c r="N973" s="39" t="s">
        <v>519</v>
      </c>
      <c r="O973" s="140">
        <v>46113</v>
      </c>
      <c r="P973" s="143"/>
      <c r="Q973" s="39" t="s">
        <v>513</v>
      </c>
      <c r="R973" s="39"/>
      <c r="S973" s="39" t="s">
        <v>402</v>
      </c>
      <c r="T973" s="39">
        <v>26.5</v>
      </c>
      <c r="U973" s="39"/>
      <c r="V973" s="39">
        <v>110</v>
      </c>
    </row>
    <row r="974" spans="1:22">
      <c r="A974" s="39"/>
      <c r="B974" s="150" t="s">
        <v>1423</v>
      </c>
      <c r="C974" s="39" t="s">
        <v>1532</v>
      </c>
      <c r="D974" s="151" t="s">
        <v>1822</v>
      </c>
      <c r="E974" s="39" t="s">
        <v>129</v>
      </c>
      <c r="F974" s="39" t="s">
        <v>1835</v>
      </c>
      <c r="G974" s="39" t="s">
        <v>1836</v>
      </c>
      <c r="H974" s="39">
        <v>4</v>
      </c>
      <c r="I974" s="39"/>
      <c r="J974" s="147">
        <v>46115</v>
      </c>
      <c r="K974" s="152">
        <v>6.5</v>
      </c>
      <c r="L974" s="142">
        <v>0.01</v>
      </c>
      <c r="M974" s="139">
        <v>26</v>
      </c>
      <c r="N974" s="39" t="s">
        <v>519</v>
      </c>
      <c r="O974" s="140">
        <v>46113</v>
      </c>
      <c r="P974" s="143"/>
      <c r="Q974" s="39" t="s">
        <v>513</v>
      </c>
      <c r="R974" s="39"/>
      <c r="S974" s="39" t="s">
        <v>402</v>
      </c>
      <c r="T974" s="39">
        <v>26.5</v>
      </c>
      <c r="U974" s="39"/>
      <c r="V974" s="39">
        <v>22</v>
      </c>
    </row>
    <row r="975" spans="1:22">
      <c r="A975" s="153">
        <v>46113</v>
      </c>
      <c r="B975" s="39" t="s">
        <v>1465</v>
      </c>
      <c r="C975" s="39" t="s">
        <v>1514</v>
      </c>
      <c r="D975" s="39" t="s">
        <v>1495</v>
      </c>
      <c r="E975" s="39" t="s">
        <v>129</v>
      </c>
      <c r="F975" s="39" t="s">
        <v>363</v>
      </c>
      <c r="G975" s="39"/>
      <c r="H975" s="39">
        <v>48</v>
      </c>
      <c r="I975" s="39"/>
      <c r="J975" s="147">
        <v>46125</v>
      </c>
      <c r="K975" s="148">
        <v>14</v>
      </c>
      <c r="L975" s="142">
        <v>0.13</v>
      </c>
      <c r="M975" s="139">
        <f>H975*K975</f>
        <v>672</v>
      </c>
      <c r="N975" s="39" t="s">
        <v>364</v>
      </c>
      <c r="O975" s="140">
        <v>46114</v>
      </c>
      <c r="P975" s="143" t="s">
        <v>1837</v>
      </c>
      <c r="Q975" s="39" t="s">
        <v>513</v>
      </c>
      <c r="R975" s="39"/>
      <c r="S975" s="39" t="s">
        <v>402</v>
      </c>
      <c r="T975" s="32">
        <v>26.5</v>
      </c>
      <c r="U975" s="39"/>
      <c r="V975" s="39"/>
    </row>
    <row r="976" ht="36" customHeight="1" spans="1:22">
      <c r="A976" s="153">
        <v>46113</v>
      </c>
      <c r="B976" s="39" t="s">
        <v>1465</v>
      </c>
      <c r="C976" s="39" t="s">
        <v>1514</v>
      </c>
      <c r="D976" s="39" t="s">
        <v>1495</v>
      </c>
      <c r="E976" s="39" t="s">
        <v>129</v>
      </c>
      <c r="F976" s="39" t="s">
        <v>383</v>
      </c>
      <c r="G976" s="39" t="s">
        <v>384</v>
      </c>
      <c r="H976" s="39">
        <v>48</v>
      </c>
      <c r="I976" s="39" t="s">
        <v>109</v>
      </c>
      <c r="J976" s="147">
        <v>46119</v>
      </c>
      <c r="K976" s="148">
        <v>40</v>
      </c>
      <c r="L976" s="142">
        <v>0.13</v>
      </c>
      <c r="M976" s="39">
        <f>H976*K976</f>
        <v>1920</v>
      </c>
      <c r="N976" s="39" t="s">
        <v>271</v>
      </c>
      <c r="O976" s="147">
        <v>46114</v>
      </c>
      <c r="P976" s="154" t="s">
        <v>1838</v>
      </c>
      <c r="Q976" s="39" t="s">
        <v>513</v>
      </c>
      <c r="R976" s="39"/>
      <c r="S976" s="146" t="s">
        <v>402</v>
      </c>
      <c r="T976" s="44">
        <v>26.5</v>
      </c>
      <c r="U976" s="39"/>
      <c r="V976" s="39"/>
    </row>
    <row r="977" spans="1:23">
      <c r="A977" s="39" t="s">
        <v>1839</v>
      </c>
      <c r="B977" s="39" t="s">
        <v>1465</v>
      </c>
      <c r="C977" s="39" t="s">
        <v>1514</v>
      </c>
      <c r="D977" s="39" t="s">
        <v>1840</v>
      </c>
      <c r="E977" s="39" t="s">
        <v>129</v>
      </c>
      <c r="F977" s="39" t="s">
        <v>1841</v>
      </c>
      <c r="G977" s="39" t="s">
        <v>1842</v>
      </c>
      <c r="H977" s="39">
        <v>1</v>
      </c>
      <c r="I977" s="39" t="s">
        <v>46</v>
      </c>
      <c r="J977" s="147">
        <v>46119</v>
      </c>
      <c r="K977" s="148">
        <v>850</v>
      </c>
      <c r="L977" s="142">
        <v>0.03</v>
      </c>
      <c r="M977" s="139">
        <f>K977*H977</f>
        <v>850</v>
      </c>
      <c r="N977" s="39" t="s">
        <v>1843</v>
      </c>
      <c r="O977" s="147">
        <v>46119</v>
      </c>
      <c r="P977" s="143" t="s">
        <v>1844</v>
      </c>
      <c r="Q977" s="39" t="s">
        <v>1510</v>
      </c>
      <c r="R977" s="147">
        <v>46119</v>
      </c>
      <c r="S977" s="39"/>
      <c r="T977" s="39"/>
      <c r="U977" s="39"/>
      <c r="V977" s="39"/>
    </row>
    <row r="978" ht="19.5" customHeight="1" spans="1:23">
      <c r="A978" s="153">
        <v>46115</v>
      </c>
      <c r="B978" s="39" t="s">
        <v>1417</v>
      </c>
      <c r="C978" s="39" t="s">
        <v>1532</v>
      </c>
      <c r="D978" s="39" t="s">
        <v>1545</v>
      </c>
      <c r="E978" s="39" t="s">
        <v>129</v>
      </c>
      <c r="F978" s="139" t="s">
        <v>1845</v>
      </c>
      <c r="G978" s="39" t="s">
        <v>1846</v>
      </c>
      <c r="H978" s="139">
        <v>80</v>
      </c>
      <c r="I978" s="139"/>
      <c r="J978" s="147">
        <v>46119</v>
      </c>
      <c r="K978" s="139">
        <v>0.53</v>
      </c>
      <c r="L978" s="142">
        <v>0.13</v>
      </c>
      <c r="M978" s="139">
        <v>42.4</v>
      </c>
      <c r="N978" s="139" t="s">
        <v>127</v>
      </c>
      <c r="O978" s="147">
        <v>46119</v>
      </c>
      <c r="P978" s="143"/>
      <c r="Q978" s="39" t="s">
        <v>1510</v>
      </c>
      <c r="R978" s="39"/>
      <c r="S978" s="39" t="s">
        <v>1786</v>
      </c>
      <c r="T978" s="39" t="s">
        <v>1502</v>
      </c>
      <c r="U978" s="39"/>
      <c r="V978" s="39"/>
    </row>
    <row r="979" spans="1:23">
      <c r="A979" s="153">
        <v>46115</v>
      </c>
      <c r="B979" s="39" t="s">
        <v>1417</v>
      </c>
      <c r="C979" s="39" t="s">
        <v>1532</v>
      </c>
      <c r="D979" s="39" t="s">
        <v>1545</v>
      </c>
      <c r="E979" s="39" t="s">
        <v>129</v>
      </c>
      <c r="F979" s="139" t="s">
        <v>1847</v>
      </c>
      <c r="G979" s="39" t="s">
        <v>1848</v>
      </c>
      <c r="H979" s="139">
        <v>380</v>
      </c>
      <c r="I979" s="139"/>
      <c r="J979" s="147">
        <v>46119</v>
      </c>
      <c r="K979" s="139">
        <v>0.52</v>
      </c>
      <c r="L979" s="142">
        <v>0.13</v>
      </c>
      <c r="M979" s="139">
        <v>197.6</v>
      </c>
      <c r="N979" s="139" t="s">
        <v>127</v>
      </c>
      <c r="O979" s="147">
        <v>46119</v>
      </c>
      <c r="P979" s="143"/>
      <c r="Q979" s="39" t="s">
        <v>1510</v>
      </c>
      <c r="R979" s="39"/>
      <c r="S979" s="39" t="s">
        <v>1786</v>
      </c>
      <c r="T979" s="39" t="s">
        <v>1502</v>
      </c>
      <c r="U979" s="39"/>
      <c r="V979" s="39"/>
    </row>
    <row r="980" ht="16.15" customHeight="1" spans="1:23">
      <c r="A980" s="153">
        <v>46115</v>
      </c>
      <c r="B980" s="39" t="s">
        <v>1582</v>
      </c>
      <c r="C980" s="39" t="s">
        <v>1605</v>
      </c>
      <c r="D980" s="39" t="s">
        <v>1849</v>
      </c>
      <c r="E980" s="39" t="s">
        <v>129</v>
      </c>
      <c r="F980" s="39" t="s">
        <v>1849</v>
      </c>
      <c r="G980" s="155" t="s">
        <v>371</v>
      </c>
      <c r="H980" s="155">
        <v>30</v>
      </c>
      <c r="I980" s="155" t="s">
        <v>46</v>
      </c>
      <c r="J980" s="147">
        <v>46121</v>
      </c>
      <c r="K980" s="156">
        <v>31.4872</v>
      </c>
      <c r="L980" s="142">
        <v>0.13</v>
      </c>
      <c r="M980" s="139">
        <f>K980*H980</f>
        <v>944.616</v>
      </c>
      <c r="N980" s="139" t="s">
        <v>325</v>
      </c>
      <c r="O980" s="147">
        <v>46119</v>
      </c>
      <c r="P980" s="143" t="s">
        <v>1850</v>
      </c>
      <c r="Q980" s="39" t="s">
        <v>513</v>
      </c>
      <c r="R980" s="147">
        <v>46125</v>
      </c>
      <c r="S980" s="39" t="s">
        <v>402</v>
      </c>
      <c r="T980" s="39">
        <v>26.5</v>
      </c>
      <c r="U980" s="39"/>
      <c r="V980" s="39"/>
    </row>
    <row r="981" ht="34.05" customHeight="1" spans="1:23">
      <c r="A981" s="153">
        <v>46115</v>
      </c>
      <c r="B981" s="39" t="s">
        <v>1582</v>
      </c>
      <c r="C981" s="39" t="s">
        <v>1605</v>
      </c>
      <c r="D981" s="39" t="s">
        <v>1849</v>
      </c>
      <c r="E981" s="39" t="s">
        <v>129</v>
      </c>
      <c r="F981" s="39" t="s">
        <v>1849</v>
      </c>
      <c r="G981" s="155" t="s">
        <v>372</v>
      </c>
      <c r="H981" s="155">
        <v>30</v>
      </c>
      <c r="I981" s="155" t="s">
        <v>46</v>
      </c>
      <c r="J981" s="147">
        <v>46121</v>
      </c>
      <c r="K981" s="156">
        <v>31.4872</v>
      </c>
      <c r="L981" s="142">
        <v>0.13</v>
      </c>
      <c r="M981" s="139">
        <f>K981*H981</f>
        <v>944.616</v>
      </c>
      <c r="N981" s="139" t="s">
        <v>325</v>
      </c>
      <c r="O981" s="147">
        <v>46119</v>
      </c>
      <c r="P981" s="143" t="s">
        <v>1850</v>
      </c>
      <c r="Q981" s="39" t="s">
        <v>513</v>
      </c>
      <c r="R981" s="147">
        <v>46125</v>
      </c>
      <c r="S981" s="39" t="s">
        <v>402</v>
      </c>
      <c r="T981" s="39">
        <v>26.5</v>
      </c>
      <c r="U981" s="39"/>
      <c r="V981" s="39"/>
    </row>
    <row r="982" ht="34.05" customHeight="1" spans="1:23">
      <c r="A982" s="39"/>
      <c r="B982" s="39" t="s">
        <v>1780</v>
      </c>
      <c r="C982" s="157" t="s">
        <v>1851</v>
      </c>
      <c r="D982" s="39" t="s">
        <v>1804</v>
      </c>
      <c r="E982" s="39" t="s">
        <v>129</v>
      </c>
      <c r="F982" s="39" t="s">
        <v>1852</v>
      </c>
      <c r="G982" s="139" t="s">
        <v>1853</v>
      </c>
      <c r="H982" s="139">
        <v>3</v>
      </c>
      <c r="I982" s="139" t="s">
        <v>252</v>
      </c>
      <c r="J982" s="153">
        <v>46125</v>
      </c>
      <c r="K982" s="139">
        <v>230</v>
      </c>
      <c r="L982" s="142">
        <v>0.13</v>
      </c>
      <c r="M982" s="139">
        <f t="shared" ref="M982:M987" si="26">K982*H982</f>
        <v>690</v>
      </c>
      <c r="N982" s="139" t="s">
        <v>1807</v>
      </c>
      <c r="O982" s="153">
        <v>46125</v>
      </c>
      <c r="P982" s="143" t="s">
        <v>1854</v>
      </c>
      <c r="Q982" s="39" t="s">
        <v>513</v>
      </c>
      <c r="R982" s="153">
        <v>46125</v>
      </c>
      <c r="S982" s="39" t="s">
        <v>1809</v>
      </c>
      <c r="T982" s="39" t="s">
        <v>1539</v>
      </c>
      <c r="U982" s="39"/>
      <c r="V982" s="39"/>
    </row>
    <row r="983" spans="1:23">
      <c r="A983" s="39"/>
      <c r="B983" s="39" t="s">
        <v>1780</v>
      </c>
      <c r="C983" s="157" t="s">
        <v>1851</v>
      </c>
      <c r="D983" s="39" t="s">
        <v>1804</v>
      </c>
      <c r="E983" s="39" t="s">
        <v>129</v>
      </c>
      <c r="F983" s="39" t="s">
        <v>1852</v>
      </c>
      <c r="G983" s="139" t="s">
        <v>1855</v>
      </c>
      <c r="H983" s="139">
        <v>3</v>
      </c>
      <c r="I983" s="139" t="s">
        <v>252</v>
      </c>
      <c r="J983" s="153">
        <v>46125</v>
      </c>
      <c r="K983" s="139">
        <v>230</v>
      </c>
      <c r="L983" s="142">
        <v>0.13</v>
      </c>
      <c r="M983" s="139">
        <f t="shared" si="26"/>
        <v>690</v>
      </c>
      <c r="N983" s="139" t="s">
        <v>1807</v>
      </c>
      <c r="O983" s="153">
        <v>46125</v>
      </c>
      <c r="P983" s="143" t="s">
        <v>1854</v>
      </c>
      <c r="Q983" s="39" t="s">
        <v>513</v>
      </c>
      <c r="R983" s="153">
        <v>46125</v>
      </c>
      <c r="S983" s="39" t="s">
        <v>1809</v>
      </c>
      <c r="T983" s="39" t="s">
        <v>1539</v>
      </c>
      <c r="U983" s="39"/>
      <c r="V983" s="39"/>
    </row>
    <row r="984" spans="1:23">
      <c r="A984" s="39"/>
      <c r="B984" s="39" t="s">
        <v>1780</v>
      </c>
      <c r="C984" s="157" t="s">
        <v>1851</v>
      </c>
      <c r="D984" s="39" t="s">
        <v>1804</v>
      </c>
      <c r="E984" s="39" t="s">
        <v>129</v>
      </c>
      <c r="F984" s="139" t="s">
        <v>327</v>
      </c>
      <c r="G984" s="39" t="s">
        <v>328</v>
      </c>
      <c r="H984" s="139">
        <v>10</v>
      </c>
      <c r="I984" s="139" t="s">
        <v>252</v>
      </c>
      <c r="J984" s="153">
        <v>46125</v>
      </c>
      <c r="K984" s="139">
        <v>552</v>
      </c>
      <c r="L984" s="142">
        <v>0.13</v>
      </c>
      <c r="M984" s="139">
        <f t="shared" si="26"/>
        <v>5520</v>
      </c>
      <c r="N984" s="139" t="s">
        <v>1807</v>
      </c>
      <c r="O984" s="153">
        <v>46125</v>
      </c>
      <c r="P984" s="143" t="s">
        <v>1854</v>
      </c>
      <c r="Q984" s="39" t="s">
        <v>513</v>
      </c>
      <c r="R984" s="153">
        <v>46125</v>
      </c>
      <c r="S984" s="39" t="s">
        <v>1809</v>
      </c>
      <c r="T984" s="39" t="s">
        <v>1539</v>
      </c>
      <c r="U984" s="39"/>
      <c r="V984" s="39"/>
    </row>
    <row r="985" spans="1:23">
      <c r="A985" s="39"/>
      <c r="B985" s="150" t="s">
        <v>1780</v>
      </c>
      <c r="C985" s="39" t="s">
        <v>1605</v>
      </c>
      <c r="D985" s="39" t="s">
        <v>1856</v>
      </c>
      <c r="E985" s="39" t="s">
        <v>129</v>
      </c>
      <c r="F985" s="157" t="s">
        <v>1395</v>
      </c>
      <c r="G985" s="157" t="s">
        <v>1857</v>
      </c>
      <c r="H985" s="157">
        <v>10</v>
      </c>
      <c r="I985" s="139" t="s">
        <v>109</v>
      </c>
      <c r="J985" s="153">
        <v>46125</v>
      </c>
      <c r="K985" s="139">
        <v>22</v>
      </c>
      <c r="L985" s="142">
        <v>0.01</v>
      </c>
      <c r="M985" s="139">
        <f t="shared" si="26"/>
        <v>220</v>
      </c>
      <c r="N985" s="139" t="s">
        <v>519</v>
      </c>
      <c r="O985" s="153">
        <v>46128</v>
      </c>
      <c r="P985" s="143"/>
      <c r="Q985" s="39"/>
      <c r="R985" s="39"/>
      <c r="S985" s="39" t="s">
        <v>402</v>
      </c>
      <c r="T985" s="39">
        <v>26.5</v>
      </c>
      <c r="U985" s="39"/>
      <c r="V985" s="39"/>
    </row>
    <row r="986" spans="1:23">
      <c r="A986" s="39"/>
      <c r="B986" s="39" t="s">
        <v>1780</v>
      </c>
      <c r="C986" s="39" t="s">
        <v>1605</v>
      </c>
      <c r="D986" s="39" t="s">
        <v>1856</v>
      </c>
      <c r="E986" s="39" t="s">
        <v>129</v>
      </c>
      <c r="F986" s="157" t="s">
        <v>1858</v>
      </c>
      <c r="G986" s="39" t="s">
        <v>1859</v>
      </c>
      <c r="H986" s="139">
        <v>500</v>
      </c>
      <c r="I986" s="139" t="s">
        <v>109</v>
      </c>
      <c r="J986" s="153">
        <v>46128</v>
      </c>
      <c r="K986" s="139">
        <v>3.96</v>
      </c>
      <c r="L986" s="142">
        <v>0.13</v>
      </c>
      <c r="M986" s="139">
        <f t="shared" si="26"/>
        <v>1980</v>
      </c>
      <c r="N986" s="139" t="s">
        <v>1860</v>
      </c>
      <c r="O986" s="153">
        <v>46128</v>
      </c>
      <c r="P986" s="143" t="s">
        <v>1861</v>
      </c>
      <c r="Q986" s="39" t="s">
        <v>513</v>
      </c>
      <c r="R986" s="153">
        <v>46128</v>
      </c>
      <c r="S986" s="39" t="s">
        <v>402</v>
      </c>
      <c r="T986" s="39">
        <v>26.5</v>
      </c>
      <c r="U986" s="39"/>
      <c r="V986" s="39"/>
    </row>
    <row r="987" spans="1:23">
      <c r="A987" s="39"/>
      <c r="B987" s="150" t="s">
        <v>1417</v>
      </c>
      <c r="C987" s="39" t="s">
        <v>1532</v>
      </c>
      <c r="D987" s="39" t="s">
        <v>1545</v>
      </c>
      <c r="E987" s="39" t="s">
        <v>129</v>
      </c>
      <c r="F987" s="138" t="s">
        <v>600</v>
      </c>
      <c r="G987" s="138" t="s">
        <v>1660</v>
      </c>
      <c r="H987" s="139">
        <v>250</v>
      </c>
      <c r="I987" s="138" t="s">
        <v>109</v>
      </c>
      <c r="J987" s="147">
        <v>46114</v>
      </c>
      <c r="K987" s="139">
        <v>2.5</v>
      </c>
      <c r="L987" s="142">
        <v>0.01</v>
      </c>
      <c r="M987" s="139">
        <f t="shared" si="26"/>
        <v>625</v>
      </c>
      <c r="N987" s="39" t="s">
        <v>519</v>
      </c>
      <c r="O987" s="147">
        <v>46115</v>
      </c>
      <c r="P987" s="143"/>
      <c r="Q987" s="39" t="s">
        <v>513</v>
      </c>
      <c r="R987" s="39"/>
      <c r="S987" s="39" t="s">
        <v>402</v>
      </c>
      <c r="T987" s="39">
        <v>26.5</v>
      </c>
      <c r="U987" s="39"/>
      <c r="V987" s="39"/>
    </row>
    <row r="988" spans="1:23">
      <c r="A988" s="39"/>
      <c r="B988" s="39" t="s">
        <v>1417</v>
      </c>
      <c r="C988" s="39" t="s">
        <v>1532</v>
      </c>
      <c r="D988" s="157" t="s">
        <v>1862</v>
      </c>
      <c r="E988" s="39" t="s">
        <v>129</v>
      </c>
      <c r="F988" s="157" t="s">
        <v>1863</v>
      </c>
      <c r="G988" s="157" t="s">
        <v>1864</v>
      </c>
      <c r="H988" s="139">
        <v>60</v>
      </c>
      <c r="I988" s="138" t="s">
        <v>109</v>
      </c>
      <c r="J988" s="147">
        <v>46132</v>
      </c>
      <c r="K988" s="139">
        <v>1.5</v>
      </c>
      <c r="L988" s="142">
        <v>0.13</v>
      </c>
      <c r="M988" s="139">
        <f t="shared" ref="M988:M996" si="27">K988*H988</f>
        <v>90</v>
      </c>
      <c r="N988" s="139" t="s">
        <v>127</v>
      </c>
      <c r="O988" s="147">
        <v>46132</v>
      </c>
      <c r="P988" s="143"/>
      <c r="Q988" s="39" t="s">
        <v>1510</v>
      </c>
      <c r="R988" s="39"/>
      <c r="S988" s="39" t="s">
        <v>1786</v>
      </c>
      <c r="T988" s="39" t="s">
        <v>1502</v>
      </c>
      <c r="U988" s="39"/>
      <c r="V988" s="39"/>
    </row>
    <row r="989" spans="1:23">
      <c r="A989" s="39"/>
      <c r="B989" s="39" t="s">
        <v>1417</v>
      </c>
      <c r="C989" s="39" t="s">
        <v>1532</v>
      </c>
      <c r="D989" s="157" t="s">
        <v>1862</v>
      </c>
      <c r="E989" s="39" t="s">
        <v>129</v>
      </c>
      <c r="F989" s="157" t="s">
        <v>1865</v>
      </c>
      <c r="G989" s="157" t="s">
        <v>1866</v>
      </c>
      <c r="H989" s="139">
        <v>60</v>
      </c>
      <c r="I989" s="138" t="s">
        <v>109</v>
      </c>
      <c r="J989" s="147">
        <v>46132</v>
      </c>
      <c r="K989" s="139">
        <v>1.22</v>
      </c>
      <c r="L989" s="142">
        <v>0.13</v>
      </c>
      <c r="M989" s="139">
        <f t="shared" si="27"/>
        <v>73.2</v>
      </c>
      <c r="N989" s="139" t="s">
        <v>127</v>
      </c>
      <c r="O989" s="147">
        <v>46132</v>
      </c>
      <c r="P989" s="143"/>
      <c r="Q989" s="39" t="s">
        <v>1510</v>
      </c>
      <c r="R989" s="39"/>
      <c r="S989" s="39" t="s">
        <v>1786</v>
      </c>
      <c r="T989" s="39" t="s">
        <v>1502</v>
      </c>
      <c r="U989" s="39"/>
      <c r="V989" s="39"/>
    </row>
    <row r="990" spans="1:23">
      <c r="A990" s="153">
        <v>46114</v>
      </c>
      <c r="B990" s="39" t="s">
        <v>1582</v>
      </c>
      <c r="C990" s="39" t="s">
        <v>1867</v>
      </c>
      <c r="D990" s="39" t="s">
        <v>1851</v>
      </c>
      <c r="E990" s="39" t="s">
        <v>129</v>
      </c>
      <c r="F990" s="39" t="s">
        <v>1867</v>
      </c>
      <c r="G990" s="39" t="s">
        <v>1868</v>
      </c>
      <c r="H990" s="139">
        <v>40</v>
      </c>
      <c r="I990" s="139" t="s">
        <v>1536</v>
      </c>
      <c r="J990" s="147">
        <v>46119</v>
      </c>
      <c r="K990" s="139">
        <v>28.25</v>
      </c>
      <c r="L990" s="142">
        <v>0.13</v>
      </c>
      <c r="M990" s="139">
        <f t="shared" si="27"/>
        <v>1130</v>
      </c>
      <c r="N990" s="139" t="s">
        <v>1869</v>
      </c>
      <c r="O990" s="147">
        <v>46119</v>
      </c>
      <c r="P990" s="143" t="s">
        <v>1870</v>
      </c>
      <c r="Q990" s="39" t="s">
        <v>513</v>
      </c>
      <c r="R990" s="147">
        <v>46119</v>
      </c>
      <c r="S990" s="39" t="s">
        <v>1560</v>
      </c>
      <c r="T990" s="39" t="s">
        <v>1539</v>
      </c>
      <c r="U990" s="39"/>
      <c r="V990" s="39"/>
      <c r="W990" s="35" t="s">
        <v>1871</v>
      </c>
    </row>
    <row r="991" spans="1:23">
      <c r="A991" s="153">
        <v>46126</v>
      </c>
      <c r="B991" s="39" t="s">
        <v>1582</v>
      </c>
      <c r="C991" s="39" t="s">
        <v>1872</v>
      </c>
      <c r="D991" s="39" t="s">
        <v>1851</v>
      </c>
      <c r="E991" s="39" t="s">
        <v>129</v>
      </c>
      <c r="F991" s="39" t="s">
        <v>1873</v>
      </c>
      <c r="G991" s="39" t="s">
        <v>1874</v>
      </c>
      <c r="H991" s="139">
        <v>1</v>
      </c>
      <c r="I991" s="139" t="s">
        <v>1875</v>
      </c>
      <c r="J991" s="147">
        <v>46132</v>
      </c>
      <c r="K991" s="139">
        <v>1500</v>
      </c>
      <c r="L991" s="142">
        <v>0.01</v>
      </c>
      <c r="M991" s="139">
        <f t="shared" si="27"/>
        <v>1500</v>
      </c>
      <c r="N991" s="139" t="s">
        <v>1876</v>
      </c>
      <c r="O991" s="147">
        <v>46132</v>
      </c>
      <c r="P991" s="143" t="s">
        <v>1877</v>
      </c>
      <c r="Q991" s="39" t="s">
        <v>1500</v>
      </c>
      <c r="R991" s="147">
        <v>46133</v>
      </c>
      <c r="S991" s="39" t="s">
        <v>1501</v>
      </c>
      <c r="T991" s="39" t="s">
        <v>1502</v>
      </c>
      <c r="U991" s="39"/>
      <c r="V991" s="39"/>
    </row>
    <row r="992" spans="1:23">
      <c r="A992" s="153">
        <v>46126</v>
      </c>
      <c r="B992" s="39" t="s">
        <v>1582</v>
      </c>
      <c r="C992" s="39" t="s">
        <v>1872</v>
      </c>
      <c r="D992" s="39" t="s">
        <v>1851</v>
      </c>
      <c r="E992" s="39" t="s">
        <v>129</v>
      </c>
      <c r="F992" s="39" t="s">
        <v>1873</v>
      </c>
      <c r="G992" s="39" t="s">
        <v>1878</v>
      </c>
      <c r="H992" s="139">
        <v>1</v>
      </c>
      <c r="I992" s="139" t="s">
        <v>1875</v>
      </c>
      <c r="J992" s="147">
        <v>46132</v>
      </c>
      <c r="K992" s="139">
        <v>1200</v>
      </c>
      <c r="L992" s="142">
        <v>0.01</v>
      </c>
      <c r="M992" s="139">
        <f t="shared" si="27"/>
        <v>1200</v>
      </c>
      <c r="N992" s="139" t="s">
        <v>1876</v>
      </c>
      <c r="O992" s="147">
        <v>46132</v>
      </c>
      <c r="P992" s="143" t="s">
        <v>1877</v>
      </c>
      <c r="Q992" s="39" t="s">
        <v>1500</v>
      </c>
      <c r="R992" s="147">
        <v>46133</v>
      </c>
      <c r="S992" s="39" t="s">
        <v>1501</v>
      </c>
      <c r="T992" s="39" t="s">
        <v>1502</v>
      </c>
      <c r="U992" s="39"/>
      <c r="V992" s="39"/>
    </row>
    <row r="993" spans="1:22">
      <c r="A993" s="153"/>
      <c r="B993" s="39" t="s">
        <v>1582</v>
      </c>
      <c r="C993" s="39" t="s">
        <v>1872</v>
      </c>
      <c r="D993" s="39" t="s">
        <v>1851</v>
      </c>
      <c r="E993" s="39" t="s">
        <v>129</v>
      </c>
      <c r="F993" s="39" t="s">
        <v>1873</v>
      </c>
      <c r="G993" s="39" t="s">
        <v>1878</v>
      </c>
      <c r="H993" s="139">
        <v>1</v>
      </c>
      <c r="I993" s="139" t="s">
        <v>1875</v>
      </c>
      <c r="J993" s="147">
        <v>46132</v>
      </c>
      <c r="K993" s="139">
        <v>1200</v>
      </c>
      <c r="L993" s="142">
        <v>0.01</v>
      </c>
      <c r="M993" s="139">
        <f t="shared" si="27"/>
        <v>1200</v>
      </c>
      <c r="N993" s="139" t="s">
        <v>1876</v>
      </c>
      <c r="O993" s="147">
        <v>46132</v>
      </c>
      <c r="P993" s="143" t="s">
        <v>1877</v>
      </c>
      <c r="Q993" s="39" t="s">
        <v>1500</v>
      </c>
      <c r="R993" s="147">
        <v>46133</v>
      </c>
      <c r="S993" s="39" t="s">
        <v>1501</v>
      </c>
      <c r="T993" s="39" t="s">
        <v>1502</v>
      </c>
      <c r="U993" s="39"/>
      <c r="V993" s="39"/>
    </row>
    <row r="994" spans="1:22">
      <c r="A994" s="39"/>
      <c r="B994" s="150" t="s">
        <v>1521</v>
      </c>
      <c r="C994" s="39" t="s">
        <v>1475</v>
      </c>
      <c r="D994" s="39" t="s">
        <v>1522</v>
      </c>
      <c r="E994" s="39" t="s">
        <v>129</v>
      </c>
      <c r="F994" s="158" t="s">
        <v>1879</v>
      </c>
      <c r="G994" s="138" t="s">
        <v>1880</v>
      </c>
      <c r="H994" s="158">
        <v>1</v>
      </c>
      <c r="I994" s="139"/>
      <c r="J994" s="147">
        <v>46122</v>
      </c>
      <c r="K994" s="141">
        <v>115</v>
      </c>
      <c r="L994" s="142">
        <v>0.01</v>
      </c>
      <c r="M994" s="139">
        <f t="shared" si="27"/>
        <v>115</v>
      </c>
      <c r="N994" s="39" t="s">
        <v>519</v>
      </c>
      <c r="O994" s="147">
        <v>46125</v>
      </c>
      <c r="P994" s="143"/>
      <c r="Q994" s="39" t="s">
        <v>513</v>
      </c>
      <c r="R994" s="147"/>
      <c r="S994" s="39" t="s">
        <v>402</v>
      </c>
      <c r="T994" s="39">
        <v>26.5</v>
      </c>
      <c r="U994" s="39"/>
      <c r="V994" s="39"/>
    </row>
    <row r="995" spans="1:22">
      <c r="A995" s="39"/>
      <c r="B995" s="150" t="s">
        <v>1521</v>
      </c>
      <c r="C995" s="39" t="s">
        <v>1475</v>
      </c>
      <c r="D995" s="39" t="s">
        <v>1522</v>
      </c>
      <c r="E995" s="39" t="s">
        <v>129</v>
      </c>
      <c r="F995" s="158" t="s">
        <v>1881</v>
      </c>
      <c r="G995" s="158" t="s">
        <v>1882</v>
      </c>
      <c r="H995" s="158">
        <v>1</v>
      </c>
      <c r="I995" s="139"/>
      <c r="J995" s="147">
        <v>46122</v>
      </c>
      <c r="K995" s="141">
        <v>83</v>
      </c>
      <c r="L995" s="142">
        <v>0.01</v>
      </c>
      <c r="M995" s="139">
        <f t="shared" si="27"/>
        <v>83</v>
      </c>
      <c r="N995" s="39" t="s">
        <v>519</v>
      </c>
      <c r="O995" s="147">
        <v>46125</v>
      </c>
      <c r="P995" s="143"/>
      <c r="Q995" s="39" t="s">
        <v>513</v>
      </c>
      <c r="R995" s="39"/>
      <c r="S995" s="39" t="s">
        <v>402</v>
      </c>
      <c r="T995" s="39">
        <v>26.5</v>
      </c>
      <c r="U995" s="39"/>
      <c r="V995" s="39"/>
    </row>
    <row r="996" spans="1:22">
      <c r="A996" s="39"/>
      <c r="B996" s="150" t="s">
        <v>1521</v>
      </c>
      <c r="C996" s="39" t="s">
        <v>1475</v>
      </c>
      <c r="D996" s="39" t="s">
        <v>1522</v>
      </c>
      <c r="E996" s="39" t="s">
        <v>129</v>
      </c>
      <c r="F996" s="158" t="s">
        <v>1883</v>
      </c>
      <c r="G996" s="158" t="s">
        <v>1884</v>
      </c>
      <c r="H996" s="158">
        <v>1</v>
      </c>
      <c r="I996" s="139"/>
      <c r="J996" s="147">
        <v>46122</v>
      </c>
      <c r="K996" s="141">
        <v>45</v>
      </c>
      <c r="L996" s="142">
        <v>0.01</v>
      </c>
      <c r="M996" s="139">
        <f t="shared" si="27"/>
        <v>45</v>
      </c>
      <c r="N996" s="39" t="s">
        <v>519</v>
      </c>
      <c r="O996" s="147">
        <v>46125</v>
      </c>
      <c r="P996" s="143"/>
      <c r="Q996" s="39" t="s">
        <v>513</v>
      </c>
      <c r="R996" s="39"/>
      <c r="S996" s="39" t="s">
        <v>402</v>
      </c>
      <c r="T996" s="39">
        <v>26.5</v>
      </c>
      <c r="U996" s="39"/>
      <c r="V996" s="39"/>
    </row>
    <row r="997" spans="1:22">
      <c r="A997" s="39"/>
      <c r="B997" s="150" t="s">
        <v>1453</v>
      </c>
      <c r="C997" s="157" t="s">
        <v>1885</v>
      </c>
      <c r="D997" s="39" t="s">
        <v>1505</v>
      </c>
      <c r="E997" s="39" t="s">
        <v>129</v>
      </c>
      <c r="F997" s="158" t="s">
        <v>1886</v>
      </c>
      <c r="G997" s="158" t="s">
        <v>1887</v>
      </c>
      <c r="H997" s="158">
        <v>1</v>
      </c>
      <c r="I997" s="158"/>
      <c r="J997" s="147">
        <v>46115</v>
      </c>
      <c r="K997" s="141">
        <v>530</v>
      </c>
      <c r="L997" s="142">
        <v>0.01</v>
      </c>
      <c r="M997" s="141">
        <v>115</v>
      </c>
      <c r="N997" s="39" t="s">
        <v>519</v>
      </c>
      <c r="O997" s="147">
        <v>46115</v>
      </c>
      <c r="P997" s="143"/>
      <c r="Q997" s="39" t="s">
        <v>513</v>
      </c>
      <c r="R997" s="147">
        <v>46115</v>
      </c>
      <c r="S997" s="39" t="s">
        <v>402</v>
      </c>
      <c r="T997" s="39">
        <v>26.5</v>
      </c>
      <c r="U997" s="39"/>
      <c r="V997" s="39"/>
    </row>
    <row r="998" spans="1:22">
      <c r="A998" s="39"/>
      <c r="B998" s="150" t="s">
        <v>1453</v>
      </c>
      <c r="C998" s="157" t="s">
        <v>1885</v>
      </c>
      <c r="D998" s="39" t="s">
        <v>1505</v>
      </c>
      <c r="E998" s="39" t="s">
        <v>129</v>
      </c>
      <c r="F998" s="158" t="s">
        <v>1886</v>
      </c>
      <c r="G998" s="138" t="s">
        <v>1888</v>
      </c>
      <c r="H998" s="158">
        <v>1</v>
      </c>
      <c r="I998" s="158"/>
      <c r="J998" s="147">
        <v>46115</v>
      </c>
      <c r="K998" s="141">
        <v>382</v>
      </c>
      <c r="L998" s="142">
        <v>0.01</v>
      </c>
      <c r="M998" s="141">
        <v>83</v>
      </c>
      <c r="N998" s="39" t="s">
        <v>519</v>
      </c>
      <c r="O998" s="147">
        <v>46115</v>
      </c>
      <c r="P998" s="143"/>
      <c r="Q998" s="39" t="s">
        <v>513</v>
      </c>
      <c r="R998" s="147">
        <v>46115</v>
      </c>
      <c r="S998" s="39" t="s">
        <v>402</v>
      </c>
      <c r="T998" s="39">
        <v>26.5</v>
      </c>
      <c r="U998" s="39"/>
      <c r="V998" s="39"/>
    </row>
    <row r="999" ht="11" customHeight="1" spans="1:22">
      <c r="A999" s="39"/>
      <c r="B999" s="150" t="s">
        <v>1453</v>
      </c>
      <c r="C999" s="157" t="s">
        <v>1885</v>
      </c>
      <c r="D999" s="39" t="s">
        <v>1505</v>
      </c>
      <c r="E999" s="39" t="s">
        <v>129</v>
      </c>
      <c r="F999" s="158" t="s">
        <v>1889</v>
      </c>
      <c r="G999" s="158" t="s">
        <v>1890</v>
      </c>
      <c r="H999" s="158">
        <v>3</v>
      </c>
      <c r="I999" s="158"/>
      <c r="J999" s="147">
        <v>46115</v>
      </c>
      <c r="K999" s="141">
        <v>88</v>
      </c>
      <c r="L999" s="142">
        <v>0.01</v>
      </c>
      <c r="M999" s="141">
        <v>45</v>
      </c>
      <c r="N999" s="39" t="s">
        <v>519</v>
      </c>
      <c r="O999" s="147">
        <v>46115</v>
      </c>
      <c r="P999" s="143"/>
      <c r="Q999" s="39" t="s">
        <v>513</v>
      </c>
      <c r="R999" s="147">
        <v>46115</v>
      </c>
      <c r="S999" s="39" t="s">
        <v>402</v>
      </c>
      <c r="T999" s="39">
        <v>26.5</v>
      </c>
      <c r="U999" s="39"/>
      <c r="V999" s="39"/>
    </row>
    <row r="1000" spans="1:22">
      <c r="A1000" s="39"/>
      <c r="B1000" s="39" t="s">
        <v>1453</v>
      </c>
      <c r="C1000" s="157" t="s">
        <v>1663</v>
      </c>
      <c r="D1000" s="39" t="s">
        <v>1505</v>
      </c>
      <c r="E1000" s="39" t="s">
        <v>129</v>
      </c>
      <c r="F1000" s="157" t="s">
        <v>1891</v>
      </c>
      <c r="G1000" s="157" t="s">
        <v>1892</v>
      </c>
      <c r="H1000" s="139">
        <v>2</v>
      </c>
      <c r="I1000" s="139" t="s">
        <v>316</v>
      </c>
      <c r="J1000" s="147">
        <v>46126</v>
      </c>
      <c r="K1000" s="139">
        <v>490</v>
      </c>
      <c r="L1000" s="142">
        <v>0.13</v>
      </c>
      <c r="M1000" s="139">
        <f>K1000*H1000</f>
        <v>980</v>
      </c>
      <c r="N1000" s="139" t="s">
        <v>388</v>
      </c>
      <c r="O1000" s="147">
        <v>46126</v>
      </c>
      <c r="P1000" s="143" t="s">
        <v>1893</v>
      </c>
      <c r="Q1000" s="39" t="s">
        <v>513</v>
      </c>
      <c r="R1000" s="147">
        <v>46127</v>
      </c>
      <c r="S1000" s="39" t="s">
        <v>1501</v>
      </c>
      <c r="T1000" s="39" t="s">
        <v>1894</v>
      </c>
      <c r="U1000" s="39"/>
      <c r="V1000" s="39"/>
    </row>
    <row r="1001" spans="1:22">
      <c r="A1001" s="39"/>
      <c r="B1001" s="150" t="s">
        <v>1453</v>
      </c>
      <c r="C1001" s="157" t="s">
        <v>1663</v>
      </c>
      <c r="D1001" s="39" t="s">
        <v>1505</v>
      </c>
      <c r="E1001" s="39" t="s">
        <v>129</v>
      </c>
      <c r="F1001" s="158" t="s">
        <v>1895</v>
      </c>
      <c r="G1001" s="158" t="s">
        <v>1896</v>
      </c>
      <c r="H1001" s="158">
        <v>10</v>
      </c>
      <c r="I1001" s="158" t="s">
        <v>469</v>
      </c>
      <c r="J1001" s="147">
        <v>46129</v>
      </c>
      <c r="K1001" s="141">
        <v>27.7</v>
      </c>
      <c r="L1001" s="142">
        <v>0.01</v>
      </c>
      <c r="M1001" s="139">
        <f>K1001*H1001</f>
        <v>277</v>
      </c>
      <c r="N1001" s="39" t="s">
        <v>519</v>
      </c>
      <c r="O1001" s="147">
        <v>46129</v>
      </c>
      <c r="P1001" s="143"/>
      <c r="Q1001" s="39" t="s">
        <v>513</v>
      </c>
      <c r="R1001" s="147">
        <v>46129</v>
      </c>
      <c r="S1001" s="39" t="s">
        <v>402</v>
      </c>
      <c r="T1001" s="39">
        <v>26.5</v>
      </c>
      <c r="U1001" s="39"/>
      <c r="V1001" s="39"/>
    </row>
    <row r="1002" spans="1:22">
      <c r="A1002" s="39"/>
      <c r="B1002" s="39" t="s">
        <v>1465</v>
      </c>
      <c r="C1002" s="39" t="s">
        <v>1514</v>
      </c>
      <c r="D1002" s="39" t="s">
        <v>1897</v>
      </c>
      <c r="E1002" s="39" t="s">
        <v>129</v>
      </c>
      <c r="F1002" s="39" t="s">
        <v>383</v>
      </c>
      <c r="G1002" s="39" t="s">
        <v>1898</v>
      </c>
      <c r="H1002" s="39">
        <v>80</v>
      </c>
      <c r="I1002" s="39" t="s">
        <v>109</v>
      </c>
      <c r="J1002" s="147">
        <v>46127</v>
      </c>
      <c r="K1002" s="39">
        <v>40</v>
      </c>
      <c r="L1002" s="142">
        <v>0.13</v>
      </c>
      <c r="M1002" s="39">
        <f t="shared" ref="M1002:M1009" si="28">H1002*K1002</f>
        <v>3200</v>
      </c>
      <c r="N1002" s="39" t="s">
        <v>271</v>
      </c>
      <c r="O1002" s="147">
        <v>46127</v>
      </c>
      <c r="P1002" s="143" t="s">
        <v>1899</v>
      </c>
      <c r="Q1002" s="39" t="s">
        <v>513</v>
      </c>
      <c r="R1002" s="147">
        <v>46127</v>
      </c>
      <c r="S1002" s="146" t="s">
        <v>402</v>
      </c>
      <c r="T1002" s="44">
        <v>26.5</v>
      </c>
      <c r="U1002" s="39"/>
      <c r="V1002" s="39"/>
    </row>
    <row r="1003" spans="1:22">
      <c r="A1003" s="159"/>
      <c r="B1003" s="39" t="s">
        <v>1465</v>
      </c>
      <c r="C1003" s="39" t="s">
        <v>1514</v>
      </c>
      <c r="D1003" s="39" t="s">
        <v>1897</v>
      </c>
      <c r="E1003" s="39" t="s">
        <v>129</v>
      </c>
      <c r="F1003" s="39" t="s">
        <v>1900</v>
      </c>
      <c r="G1003" s="39" t="s">
        <v>1901</v>
      </c>
      <c r="H1003" s="39">
        <v>80</v>
      </c>
      <c r="I1003" s="39" t="s">
        <v>109</v>
      </c>
      <c r="J1003" s="147">
        <v>46133</v>
      </c>
      <c r="K1003" s="39">
        <v>14</v>
      </c>
      <c r="L1003" s="142">
        <v>0.13</v>
      </c>
      <c r="M1003" s="39">
        <f t="shared" si="28"/>
        <v>1120</v>
      </c>
      <c r="N1003" s="39" t="s">
        <v>364</v>
      </c>
      <c r="O1003" s="147">
        <v>46133</v>
      </c>
      <c r="P1003" s="143" t="s">
        <v>1902</v>
      </c>
      <c r="Q1003" s="39" t="s">
        <v>513</v>
      </c>
      <c r="R1003" s="147">
        <v>46134</v>
      </c>
      <c r="S1003" s="39" t="s">
        <v>402</v>
      </c>
      <c r="T1003" s="32">
        <v>26.5</v>
      </c>
      <c r="U1003" s="39"/>
      <c r="V1003" s="39"/>
    </row>
    <row r="1004" spans="1:22">
      <c r="A1004" s="39"/>
      <c r="B1004" s="39" t="s">
        <v>1465</v>
      </c>
      <c r="C1004" s="39" t="s">
        <v>1856</v>
      </c>
      <c r="D1004" s="39" t="s">
        <v>1903</v>
      </c>
      <c r="E1004" s="39" t="s">
        <v>129</v>
      </c>
      <c r="F1004" s="39" t="s">
        <v>1904</v>
      </c>
      <c r="G1004" s="39" t="s">
        <v>1905</v>
      </c>
      <c r="H1004" s="139">
        <v>330</v>
      </c>
      <c r="I1004" s="39" t="s">
        <v>109</v>
      </c>
      <c r="J1004" s="147">
        <v>46123</v>
      </c>
      <c r="K1004" s="139">
        <v>0.75</v>
      </c>
      <c r="L1004" s="142">
        <v>0.13</v>
      </c>
      <c r="M1004" s="39">
        <f t="shared" si="28"/>
        <v>247.5</v>
      </c>
      <c r="N1004" s="139" t="s">
        <v>1795</v>
      </c>
      <c r="O1004" s="147">
        <v>46124</v>
      </c>
      <c r="P1004" s="143" t="s">
        <v>1906</v>
      </c>
      <c r="Q1004" s="39" t="s">
        <v>1500</v>
      </c>
      <c r="R1004" s="39"/>
      <c r="S1004" s="44" t="s">
        <v>402</v>
      </c>
      <c r="T1004" s="44" t="s">
        <v>1502</v>
      </c>
      <c r="U1004" s="147">
        <v>46148</v>
      </c>
      <c r="V1004" s="39"/>
    </row>
    <row r="1005" spans="1:22">
      <c r="A1005" s="39"/>
      <c r="B1005" s="39" t="s">
        <v>1465</v>
      </c>
      <c r="C1005" s="39" t="s">
        <v>1856</v>
      </c>
      <c r="D1005" s="39" t="s">
        <v>1903</v>
      </c>
      <c r="E1005" s="39" t="s">
        <v>129</v>
      </c>
      <c r="F1005" s="39" t="s">
        <v>1907</v>
      </c>
      <c r="G1005" s="39" t="s">
        <v>1908</v>
      </c>
      <c r="H1005" s="139">
        <v>2150</v>
      </c>
      <c r="I1005" s="39" t="s">
        <v>109</v>
      </c>
      <c r="J1005" s="147">
        <v>46123</v>
      </c>
      <c r="K1005" s="139">
        <v>0.2</v>
      </c>
      <c r="L1005" s="142">
        <v>0.13</v>
      </c>
      <c r="M1005" s="39">
        <f t="shared" si="28"/>
        <v>430</v>
      </c>
      <c r="N1005" s="139" t="s">
        <v>1795</v>
      </c>
      <c r="O1005" s="147">
        <v>46124</v>
      </c>
      <c r="P1005" s="143" t="s">
        <v>1906</v>
      </c>
      <c r="Q1005" s="39" t="s">
        <v>1500</v>
      </c>
      <c r="R1005" s="39"/>
      <c r="S1005" s="44" t="s">
        <v>402</v>
      </c>
      <c r="T1005" s="44" t="s">
        <v>1502</v>
      </c>
      <c r="U1005" s="147">
        <v>46148</v>
      </c>
      <c r="V1005" s="39"/>
    </row>
    <row r="1006" spans="1:22">
      <c r="A1006" s="39"/>
      <c r="B1006" s="39" t="s">
        <v>1465</v>
      </c>
      <c r="C1006" s="39" t="s">
        <v>1856</v>
      </c>
      <c r="D1006" s="39" t="s">
        <v>1903</v>
      </c>
      <c r="E1006" s="39" t="s">
        <v>129</v>
      </c>
      <c r="F1006" s="39" t="s">
        <v>1909</v>
      </c>
      <c r="G1006" s="39" t="s">
        <v>1905</v>
      </c>
      <c r="H1006" s="139">
        <v>330</v>
      </c>
      <c r="I1006" s="39" t="s">
        <v>109</v>
      </c>
      <c r="J1006" s="147">
        <v>46123</v>
      </c>
      <c r="K1006" s="139">
        <v>0.5</v>
      </c>
      <c r="L1006" s="142">
        <v>0.13</v>
      </c>
      <c r="M1006" s="39">
        <f t="shared" si="28"/>
        <v>165</v>
      </c>
      <c r="N1006" s="139" t="s">
        <v>1795</v>
      </c>
      <c r="O1006" s="147">
        <v>46124</v>
      </c>
      <c r="P1006" s="143" t="s">
        <v>1906</v>
      </c>
      <c r="Q1006" s="39" t="s">
        <v>1500</v>
      </c>
      <c r="R1006" s="39"/>
      <c r="S1006" s="44" t="s">
        <v>402</v>
      </c>
      <c r="T1006" s="44" t="s">
        <v>1502</v>
      </c>
      <c r="U1006" s="147">
        <v>46148</v>
      </c>
      <c r="V1006" s="39"/>
    </row>
    <row r="1007" spans="1:22">
      <c r="A1007" s="39"/>
      <c r="B1007" s="39" t="s">
        <v>1465</v>
      </c>
      <c r="C1007" s="39" t="s">
        <v>1856</v>
      </c>
      <c r="D1007" s="39" t="s">
        <v>1903</v>
      </c>
      <c r="E1007" s="39" t="s">
        <v>129</v>
      </c>
      <c r="F1007" s="39" t="s">
        <v>1910</v>
      </c>
      <c r="G1007" s="39" t="s">
        <v>1905</v>
      </c>
      <c r="H1007" s="139">
        <v>330</v>
      </c>
      <c r="I1007" s="39" t="s">
        <v>109</v>
      </c>
      <c r="J1007" s="147">
        <v>46123</v>
      </c>
      <c r="K1007" s="139">
        <v>0.5</v>
      </c>
      <c r="L1007" s="142">
        <v>0.13</v>
      </c>
      <c r="M1007" s="39">
        <f t="shared" si="28"/>
        <v>165</v>
      </c>
      <c r="N1007" s="139" t="s">
        <v>1795</v>
      </c>
      <c r="O1007" s="147">
        <v>46124</v>
      </c>
      <c r="P1007" s="143" t="s">
        <v>1906</v>
      </c>
      <c r="Q1007" s="39" t="s">
        <v>1500</v>
      </c>
      <c r="R1007" s="39"/>
      <c r="S1007" s="44" t="s">
        <v>402</v>
      </c>
      <c r="T1007" s="44" t="s">
        <v>1502</v>
      </c>
      <c r="U1007" s="147">
        <v>46148</v>
      </c>
      <c r="V1007" s="39"/>
    </row>
    <row r="1008" spans="1:22">
      <c r="A1008" s="39"/>
      <c r="B1008" s="39" t="s">
        <v>1465</v>
      </c>
      <c r="C1008" s="39" t="s">
        <v>1856</v>
      </c>
      <c r="D1008" s="39" t="s">
        <v>1903</v>
      </c>
      <c r="E1008" s="39" t="s">
        <v>129</v>
      </c>
      <c r="F1008" s="157" t="s">
        <v>1911</v>
      </c>
      <c r="G1008" s="39" t="s">
        <v>1912</v>
      </c>
      <c r="H1008" s="139">
        <v>30</v>
      </c>
      <c r="I1008" s="139" t="s">
        <v>1875</v>
      </c>
      <c r="J1008" s="147">
        <v>46123</v>
      </c>
      <c r="K1008" s="139">
        <v>2</v>
      </c>
      <c r="L1008" s="142">
        <v>0.01</v>
      </c>
      <c r="M1008" s="39">
        <f t="shared" si="28"/>
        <v>60</v>
      </c>
      <c r="N1008" s="139" t="s">
        <v>1913</v>
      </c>
      <c r="O1008" s="147">
        <v>46123</v>
      </c>
      <c r="P1008" s="143"/>
      <c r="Q1008" s="39" t="s">
        <v>513</v>
      </c>
      <c r="R1008" s="39"/>
      <c r="S1008" s="39"/>
      <c r="T1008" s="39"/>
      <c r="U1008" s="39"/>
      <c r="V1008" s="39"/>
    </row>
    <row r="1009" spans="1:23">
      <c r="A1009" s="39"/>
      <c r="B1009" s="150" t="s">
        <v>1465</v>
      </c>
      <c r="C1009" s="39" t="s">
        <v>1856</v>
      </c>
      <c r="D1009" s="39" t="s">
        <v>1903</v>
      </c>
      <c r="E1009" s="39" t="s">
        <v>129</v>
      </c>
      <c r="F1009" s="158" t="s">
        <v>1914</v>
      </c>
      <c r="G1009" s="158" t="s">
        <v>1915</v>
      </c>
      <c r="H1009" s="158">
        <v>300</v>
      </c>
      <c r="I1009" s="39" t="s">
        <v>109</v>
      </c>
      <c r="J1009" s="147">
        <v>46123</v>
      </c>
      <c r="K1009" s="139">
        <v>6</v>
      </c>
      <c r="L1009" s="142">
        <v>0.01</v>
      </c>
      <c r="M1009" s="39">
        <f t="shared" si="28"/>
        <v>1800</v>
      </c>
      <c r="N1009" s="39" t="s">
        <v>519</v>
      </c>
      <c r="O1009" s="147">
        <v>46123</v>
      </c>
      <c r="P1009" s="143"/>
      <c r="Q1009" s="39" t="s">
        <v>513</v>
      </c>
      <c r="R1009" s="39"/>
      <c r="S1009" s="39" t="s">
        <v>402</v>
      </c>
      <c r="T1009" s="39">
        <v>26.5</v>
      </c>
      <c r="U1009" s="39"/>
      <c r="V1009" s="39"/>
    </row>
    <row r="1010" spans="1:23">
      <c r="A1010" s="39"/>
      <c r="B1010" s="150" t="s">
        <v>1465</v>
      </c>
      <c r="C1010" s="39" t="s">
        <v>1856</v>
      </c>
      <c r="D1010" s="39" t="s">
        <v>1903</v>
      </c>
      <c r="E1010" s="39" t="s">
        <v>129</v>
      </c>
      <c r="F1010" s="158" t="s">
        <v>1914</v>
      </c>
      <c r="G1010" s="158" t="s">
        <v>1916</v>
      </c>
      <c r="H1010" s="158">
        <v>300</v>
      </c>
      <c r="I1010" s="39" t="s">
        <v>109</v>
      </c>
      <c r="J1010" s="147">
        <v>46123</v>
      </c>
      <c r="K1010" s="139">
        <v>6</v>
      </c>
      <c r="L1010" s="142">
        <v>0.01</v>
      </c>
      <c r="M1010" s="39">
        <f t="shared" ref="M1010:M1017" si="29">H1010*K1010</f>
        <v>1800</v>
      </c>
      <c r="N1010" s="39" t="s">
        <v>519</v>
      </c>
      <c r="O1010" s="147">
        <v>46123</v>
      </c>
      <c r="P1010" s="143"/>
      <c r="Q1010" s="39" t="s">
        <v>513</v>
      </c>
      <c r="R1010" s="39"/>
      <c r="S1010" s="39" t="s">
        <v>402</v>
      </c>
      <c r="T1010" s="39">
        <v>26.5</v>
      </c>
      <c r="U1010" s="39"/>
      <c r="V1010" s="39"/>
    </row>
    <row r="1011" spans="1:23">
      <c r="A1011" s="39"/>
      <c r="B1011" s="150" t="s">
        <v>1465</v>
      </c>
      <c r="C1011" s="39" t="s">
        <v>1856</v>
      </c>
      <c r="D1011" s="39" t="s">
        <v>1903</v>
      </c>
      <c r="E1011" s="39" t="s">
        <v>129</v>
      </c>
      <c r="F1011" s="158" t="s">
        <v>1914</v>
      </c>
      <c r="G1011" s="158" t="s">
        <v>1917</v>
      </c>
      <c r="H1011" s="158">
        <v>300</v>
      </c>
      <c r="I1011" s="39" t="s">
        <v>109</v>
      </c>
      <c r="J1011" s="147">
        <v>46123</v>
      </c>
      <c r="K1011" s="139">
        <v>6.9</v>
      </c>
      <c r="L1011" s="142">
        <v>0.01</v>
      </c>
      <c r="M1011" s="39">
        <f t="shared" si="29"/>
        <v>2070</v>
      </c>
      <c r="N1011" s="39" t="s">
        <v>519</v>
      </c>
      <c r="O1011" s="147">
        <v>46123</v>
      </c>
      <c r="P1011" s="143"/>
      <c r="Q1011" s="39" t="s">
        <v>513</v>
      </c>
      <c r="R1011" s="39"/>
      <c r="S1011" s="39" t="s">
        <v>402</v>
      </c>
      <c r="T1011" s="39">
        <v>26.5</v>
      </c>
      <c r="U1011" s="39"/>
      <c r="V1011" s="39"/>
    </row>
    <row r="1012" spans="1:23">
      <c r="A1012" s="39"/>
      <c r="B1012" s="39" t="s">
        <v>1465</v>
      </c>
      <c r="C1012" s="39" t="s">
        <v>1856</v>
      </c>
      <c r="D1012" s="39" t="s">
        <v>1903</v>
      </c>
      <c r="E1012" s="39" t="s">
        <v>129</v>
      </c>
      <c r="F1012" s="154" t="s">
        <v>1918</v>
      </c>
      <c r="G1012" s="154" t="s">
        <v>1919</v>
      </c>
      <c r="H1012" s="154">
        <v>300</v>
      </c>
      <c r="I1012" s="39" t="s">
        <v>109</v>
      </c>
      <c r="J1012" s="147">
        <v>46128</v>
      </c>
      <c r="K1012" s="148">
        <v>3.53</v>
      </c>
      <c r="L1012" s="142">
        <v>0.13</v>
      </c>
      <c r="M1012" s="39">
        <f t="shared" si="29"/>
        <v>1059</v>
      </c>
      <c r="N1012" s="139" t="s">
        <v>1920</v>
      </c>
      <c r="O1012" s="160">
        <v>46128</v>
      </c>
      <c r="P1012" s="143" t="s">
        <v>1921</v>
      </c>
      <c r="Q1012" s="39" t="s">
        <v>513</v>
      </c>
      <c r="R1012" s="39"/>
      <c r="S1012" s="39"/>
      <c r="T1012" s="39"/>
      <c r="U1012" s="39"/>
      <c r="V1012" s="39"/>
    </row>
    <row r="1013" spans="1:23">
      <c r="A1013" s="39"/>
      <c r="B1013" s="39" t="s">
        <v>1465</v>
      </c>
      <c r="C1013" s="39" t="s">
        <v>1856</v>
      </c>
      <c r="D1013" s="39" t="s">
        <v>1903</v>
      </c>
      <c r="E1013" s="39" t="s">
        <v>129</v>
      </c>
      <c r="F1013" s="154" t="s">
        <v>1922</v>
      </c>
      <c r="G1013" s="154" t="s">
        <v>1923</v>
      </c>
      <c r="H1013" s="154">
        <v>300</v>
      </c>
      <c r="I1013" s="39" t="s">
        <v>109</v>
      </c>
      <c r="J1013" s="147">
        <v>46128</v>
      </c>
      <c r="K1013" s="148">
        <v>3.53</v>
      </c>
      <c r="L1013" s="142">
        <v>0.13</v>
      </c>
      <c r="M1013" s="39">
        <f t="shared" si="29"/>
        <v>1059</v>
      </c>
      <c r="N1013" s="139" t="s">
        <v>1920</v>
      </c>
      <c r="O1013" s="160">
        <v>46128</v>
      </c>
      <c r="P1013" s="143" t="s">
        <v>1921</v>
      </c>
      <c r="Q1013" s="39" t="s">
        <v>513</v>
      </c>
      <c r="R1013" s="39"/>
      <c r="S1013" s="39"/>
      <c r="T1013" s="39"/>
      <c r="U1013" s="39"/>
      <c r="V1013" s="39"/>
    </row>
    <row r="1014" spans="1:23">
      <c r="A1014" s="39"/>
      <c r="B1014" s="39" t="s">
        <v>1465</v>
      </c>
      <c r="C1014" s="39" t="s">
        <v>1856</v>
      </c>
      <c r="D1014" s="39" t="s">
        <v>1903</v>
      </c>
      <c r="E1014" s="39" t="s">
        <v>129</v>
      </c>
      <c r="F1014" s="154" t="s">
        <v>1924</v>
      </c>
      <c r="G1014" s="154" t="s">
        <v>1925</v>
      </c>
      <c r="H1014" s="154">
        <v>300</v>
      </c>
      <c r="I1014" s="39" t="s">
        <v>109</v>
      </c>
      <c r="J1014" s="147">
        <v>46128</v>
      </c>
      <c r="K1014" s="148">
        <v>3.63</v>
      </c>
      <c r="L1014" s="142">
        <v>0.13</v>
      </c>
      <c r="M1014" s="39">
        <f t="shared" si="29"/>
        <v>1089</v>
      </c>
      <c r="N1014" s="139" t="s">
        <v>1920</v>
      </c>
      <c r="O1014" s="160">
        <v>46128</v>
      </c>
      <c r="P1014" s="143" t="s">
        <v>1921</v>
      </c>
      <c r="Q1014" s="39" t="s">
        <v>513</v>
      </c>
      <c r="R1014" s="39"/>
      <c r="S1014" s="39"/>
      <c r="T1014" s="39"/>
      <c r="U1014" s="39"/>
      <c r="V1014" s="39"/>
    </row>
    <row r="1015" ht="45" spans="1:23">
      <c r="A1015" s="159"/>
      <c r="B1015" s="39" t="s">
        <v>1493</v>
      </c>
      <c r="C1015" s="157" t="s">
        <v>1926</v>
      </c>
      <c r="D1015" s="39" t="s">
        <v>1530</v>
      </c>
      <c r="E1015" s="39" t="s">
        <v>129</v>
      </c>
      <c r="F1015" s="39" t="s">
        <v>1927</v>
      </c>
      <c r="G1015" s="161" t="s">
        <v>1928</v>
      </c>
      <c r="H1015" s="138">
        <v>1</v>
      </c>
      <c r="I1015" s="154" t="s">
        <v>46</v>
      </c>
      <c r="J1015" s="153">
        <v>46134</v>
      </c>
      <c r="K1015" s="139">
        <v>1000</v>
      </c>
      <c r="L1015" s="142">
        <v>0.13</v>
      </c>
      <c r="M1015" s="162">
        <f t="shared" si="29"/>
        <v>1000</v>
      </c>
      <c r="N1015" s="39" t="s">
        <v>400</v>
      </c>
      <c r="O1015" s="153">
        <v>46134</v>
      </c>
      <c r="P1015" s="143" t="s">
        <v>1929</v>
      </c>
      <c r="Q1015" s="39" t="s">
        <v>513</v>
      </c>
      <c r="R1015" s="153"/>
      <c r="S1015" s="67" t="s">
        <v>402</v>
      </c>
      <c r="T1015" s="39">
        <v>26.5</v>
      </c>
      <c r="U1015" s="39"/>
      <c r="V1015" s="39"/>
    </row>
    <row r="1016" s="33" customFormat="1" spans="1:23">
      <c r="A1016" s="163"/>
      <c r="B1016" s="164" t="s">
        <v>1582</v>
      </c>
      <c r="C1016" s="164"/>
      <c r="D1016" s="164" t="s">
        <v>1851</v>
      </c>
      <c r="E1016" s="164" t="s">
        <v>129</v>
      </c>
      <c r="F1016" s="165" t="s">
        <v>1930</v>
      </c>
      <c r="G1016" s="165" t="s">
        <v>1898</v>
      </c>
      <c r="H1016" s="166">
        <v>3</v>
      </c>
      <c r="I1016" s="166" t="s">
        <v>109</v>
      </c>
      <c r="J1016" s="167">
        <v>46139</v>
      </c>
      <c r="K1016" s="168">
        <v>220</v>
      </c>
      <c r="L1016" s="169">
        <v>0.13</v>
      </c>
      <c r="M1016" s="170">
        <f t="shared" si="29"/>
        <v>660</v>
      </c>
      <c r="N1016" s="164" t="s">
        <v>400</v>
      </c>
      <c r="O1016" s="171">
        <v>46140</v>
      </c>
      <c r="P1016" s="172" t="s">
        <v>1931</v>
      </c>
      <c r="Q1016" s="164" t="s">
        <v>513</v>
      </c>
      <c r="R1016" s="164"/>
      <c r="S1016" s="164"/>
      <c r="T1016" s="164"/>
      <c r="U1016" s="164"/>
      <c r="V1016" s="164"/>
      <c r="W1016" s="33" t="s">
        <v>1932</v>
      </c>
    </row>
    <row r="1017" s="33" customFormat="1" spans="1:23">
      <c r="A1017" s="164"/>
      <c r="B1017" s="164" t="s">
        <v>1582</v>
      </c>
      <c r="C1017" s="164"/>
      <c r="D1017" s="164" t="s">
        <v>1851</v>
      </c>
      <c r="E1017" s="164" t="s">
        <v>129</v>
      </c>
      <c r="F1017" s="165" t="s">
        <v>1933</v>
      </c>
      <c r="G1017" s="165" t="s">
        <v>1898</v>
      </c>
      <c r="H1017" s="166">
        <v>3</v>
      </c>
      <c r="I1017" s="166" t="s">
        <v>109</v>
      </c>
      <c r="J1017" s="167">
        <v>46139</v>
      </c>
      <c r="K1017" s="168">
        <v>140</v>
      </c>
      <c r="L1017" s="169">
        <v>0.13</v>
      </c>
      <c r="M1017" s="170">
        <f t="shared" si="29"/>
        <v>420</v>
      </c>
      <c r="N1017" s="164" t="s">
        <v>400</v>
      </c>
      <c r="O1017" s="171">
        <v>46140</v>
      </c>
      <c r="P1017" s="172" t="s">
        <v>1931</v>
      </c>
      <c r="Q1017" s="164" t="s">
        <v>513</v>
      </c>
      <c r="R1017" s="164"/>
      <c r="S1017" s="164"/>
      <c r="T1017" s="164"/>
      <c r="U1017" s="164"/>
      <c r="V1017" s="164"/>
      <c r="W1017" s="33" t="s">
        <v>1932</v>
      </c>
    </row>
    <row r="1018" spans="1:23">
      <c r="A1018" s="39"/>
      <c r="B1018" s="150" t="s">
        <v>1442</v>
      </c>
      <c r="C1018" s="39" t="s">
        <v>1532</v>
      </c>
      <c r="D1018" s="39" t="s">
        <v>1934</v>
      </c>
      <c r="E1018" s="39" t="s">
        <v>129</v>
      </c>
      <c r="F1018" s="158" t="s">
        <v>1935</v>
      </c>
      <c r="G1018" s="158" t="s">
        <v>1936</v>
      </c>
      <c r="H1018" s="158">
        <v>2</v>
      </c>
      <c r="I1018" s="139" t="s">
        <v>109</v>
      </c>
      <c r="J1018" s="147">
        <v>46123</v>
      </c>
      <c r="K1018" s="141">
        <v>57</v>
      </c>
      <c r="L1018" s="142">
        <v>0.01</v>
      </c>
      <c r="M1018" s="139">
        <f t="shared" ref="M1018:M1028" si="30">K1018*H1018</f>
        <v>114</v>
      </c>
      <c r="N1018" s="39" t="s">
        <v>519</v>
      </c>
      <c r="O1018" s="147">
        <v>46123</v>
      </c>
      <c r="P1018" s="143"/>
      <c r="Q1018" s="39" t="s">
        <v>513</v>
      </c>
      <c r="R1018" s="39"/>
      <c r="S1018" s="39" t="s">
        <v>402</v>
      </c>
      <c r="T1018" s="39">
        <v>26.5</v>
      </c>
      <c r="U1018" s="39"/>
      <c r="V1018" s="39"/>
    </row>
    <row r="1019" spans="1:23">
      <c r="A1019" s="39"/>
      <c r="B1019" s="150" t="s">
        <v>1442</v>
      </c>
      <c r="C1019" s="39" t="s">
        <v>1532</v>
      </c>
      <c r="D1019" s="39" t="s">
        <v>1934</v>
      </c>
      <c r="E1019" s="39" t="s">
        <v>129</v>
      </c>
      <c r="F1019" s="158" t="s">
        <v>1937</v>
      </c>
      <c r="G1019" s="158" t="s">
        <v>1938</v>
      </c>
      <c r="H1019" s="158">
        <v>100</v>
      </c>
      <c r="I1019" s="139" t="s">
        <v>109</v>
      </c>
      <c r="J1019" s="147">
        <v>46123</v>
      </c>
      <c r="K1019" s="141">
        <v>0.1</v>
      </c>
      <c r="L1019" s="142">
        <v>0.01</v>
      </c>
      <c r="M1019" s="139">
        <f t="shared" si="30"/>
        <v>10</v>
      </c>
      <c r="N1019" s="39" t="s">
        <v>519</v>
      </c>
      <c r="O1019" s="147">
        <v>46123</v>
      </c>
      <c r="P1019" s="143"/>
      <c r="Q1019" s="39" t="s">
        <v>513</v>
      </c>
      <c r="R1019" s="39"/>
      <c r="S1019" s="39" t="s">
        <v>402</v>
      </c>
      <c r="T1019" s="39">
        <v>26.5</v>
      </c>
      <c r="U1019" s="39"/>
      <c r="V1019" s="39"/>
    </row>
    <row r="1020" spans="1:23">
      <c r="A1020" s="39"/>
      <c r="B1020" s="150" t="s">
        <v>1442</v>
      </c>
      <c r="C1020" s="39" t="s">
        <v>1851</v>
      </c>
      <c r="D1020" s="39" t="s">
        <v>1939</v>
      </c>
      <c r="E1020" s="39" t="s">
        <v>129</v>
      </c>
      <c r="F1020" s="158" t="s">
        <v>1940</v>
      </c>
      <c r="G1020" s="158" t="s">
        <v>1941</v>
      </c>
      <c r="H1020" s="158">
        <v>50</v>
      </c>
      <c r="I1020" s="139" t="s">
        <v>109</v>
      </c>
      <c r="J1020" s="147">
        <v>46129</v>
      </c>
      <c r="K1020" s="141">
        <v>1.35</v>
      </c>
      <c r="L1020" s="142">
        <v>0.01</v>
      </c>
      <c r="M1020" s="139">
        <f t="shared" si="30"/>
        <v>67.5</v>
      </c>
      <c r="N1020" s="39" t="s">
        <v>519</v>
      </c>
      <c r="O1020" s="147">
        <v>46129</v>
      </c>
      <c r="P1020" s="143"/>
      <c r="Q1020" s="39" t="s">
        <v>513</v>
      </c>
      <c r="R1020" s="39"/>
      <c r="S1020" s="39" t="s">
        <v>402</v>
      </c>
      <c r="T1020" s="39">
        <v>26.5</v>
      </c>
      <c r="U1020" s="39"/>
      <c r="V1020" s="39"/>
    </row>
    <row r="1021" spans="1:23">
      <c r="A1021" s="39"/>
      <c r="B1021" s="150" t="s">
        <v>1442</v>
      </c>
      <c r="C1021" s="39" t="s">
        <v>1851</v>
      </c>
      <c r="D1021" s="39" t="s">
        <v>1939</v>
      </c>
      <c r="E1021" s="39" t="s">
        <v>129</v>
      </c>
      <c r="F1021" s="158" t="s">
        <v>1942</v>
      </c>
      <c r="G1021" s="138" t="s">
        <v>1943</v>
      </c>
      <c r="H1021" s="158">
        <v>1</v>
      </c>
      <c r="I1021" s="139" t="s">
        <v>109</v>
      </c>
      <c r="J1021" s="147">
        <v>46129</v>
      </c>
      <c r="K1021" s="141">
        <v>5</v>
      </c>
      <c r="L1021" s="142">
        <v>0.01</v>
      </c>
      <c r="M1021" s="139">
        <f t="shared" si="30"/>
        <v>5</v>
      </c>
      <c r="N1021" s="39" t="s">
        <v>519</v>
      </c>
      <c r="O1021" s="147">
        <v>46129</v>
      </c>
      <c r="P1021" s="143"/>
      <c r="Q1021" s="39" t="s">
        <v>513</v>
      </c>
      <c r="R1021" s="39"/>
      <c r="S1021" s="39" t="s">
        <v>402</v>
      </c>
      <c r="T1021" s="39">
        <v>26.5</v>
      </c>
      <c r="U1021" s="39"/>
      <c r="V1021" s="39"/>
    </row>
    <row r="1022" spans="1:23">
      <c r="A1022" s="159"/>
      <c r="B1022" s="39" t="s">
        <v>507</v>
      </c>
      <c r="C1022" s="39" t="s">
        <v>1851</v>
      </c>
      <c r="D1022" s="39" t="s">
        <v>1549</v>
      </c>
      <c r="E1022" s="39" t="s">
        <v>129</v>
      </c>
      <c r="F1022" s="139" t="s">
        <v>1944</v>
      </c>
      <c r="G1022" s="39" t="s">
        <v>1945</v>
      </c>
      <c r="H1022" s="139">
        <v>35</v>
      </c>
      <c r="I1022" s="139" t="s">
        <v>153</v>
      </c>
      <c r="J1022" s="153">
        <v>46134</v>
      </c>
      <c r="K1022" s="148">
        <v>75.5</v>
      </c>
      <c r="L1022" s="142">
        <v>0.13</v>
      </c>
      <c r="M1022" s="139">
        <f t="shared" si="30"/>
        <v>2642.5</v>
      </c>
      <c r="N1022" s="39" t="s">
        <v>1552</v>
      </c>
      <c r="O1022" s="139"/>
      <c r="P1022" s="143" t="s">
        <v>1946</v>
      </c>
      <c r="Q1022" s="39" t="s">
        <v>513</v>
      </c>
      <c r="R1022" s="39"/>
      <c r="S1022" s="39" t="s">
        <v>402</v>
      </c>
      <c r="T1022" s="39">
        <v>26.5</v>
      </c>
      <c r="U1022" s="39"/>
      <c r="V1022" s="39"/>
    </row>
    <row r="1023" spans="1:23">
      <c r="A1023" s="39"/>
      <c r="B1023" s="39" t="s">
        <v>507</v>
      </c>
      <c r="C1023" s="39" t="s">
        <v>1851</v>
      </c>
      <c r="D1023" s="157" t="s">
        <v>1947</v>
      </c>
      <c r="E1023" s="39" t="s">
        <v>129</v>
      </c>
      <c r="F1023" s="139" t="s">
        <v>1948</v>
      </c>
      <c r="G1023" s="39" t="s">
        <v>1949</v>
      </c>
      <c r="H1023" s="139">
        <v>55</v>
      </c>
      <c r="I1023" s="138" t="s">
        <v>109</v>
      </c>
      <c r="J1023" s="153">
        <v>46134</v>
      </c>
      <c r="K1023" s="139">
        <v>55</v>
      </c>
      <c r="L1023" s="142">
        <v>0.13</v>
      </c>
      <c r="M1023" s="139">
        <f t="shared" si="30"/>
        <v>3025</v>
      </c>
      <c r="N1023" s="139" t="s">
        <v>271</v>
      </c>
      <c r="O1023" s="139"/>
      <c r="P1023" s="143" t="s">
        <v>1950</v>
      </c>
      <c r="Q1023" s="39"/>
      <c r="R1023" s="39"/>
      <c r="S1023" s="146" t="s">
        <v>402</v>
      </c>
      <c r="T1023" s="44">
        <v>26.5</v>
      </c>
      <c r="U1023" s="39"/>
      <c r="V1023" s="39"/>
      <c r="W1023" s="35" t="s">
        <v>1951</v>
      </c>
    </row>
    <row r="1024" spans="1:23">
      <c r="A1024" s="159"/>
      <c r="B1024" s="39" t="s">
        <v>507</v>
      </c>
      <c r="C1024" s="39" t="s">
        <v>1851</v>
      </c>
      <c r="D1024" s="157" t="s">
        <v>1947</v>
      </c>
      <c r="E1024" s="39" t="s">
        <v>129</v>
      </c>
      <c r="F1024" s="139" t="s">
        <v>1952</v>
      </c>
      <c r="G1024" s="157" t="s">
        <v>1953</v>
      </c>
      <c r="H1024" s="139">
        <v>55</v>
      </c>
      <c r="I1024" s="138" t="s">
        <v>109</v>
      </c>
      <c r="J1024" s="153">
        <v>46140</v>
      </c>
      <c r="K1024" s="139">
        <v>15</v>
      </c>
      <c r="L1024" s="142">
        <v>0.13</v>
      </c>
      <c r="M1024" s="139">
        <f t="shared" si="30"/>
        <v>825</v>
      </c>
      <c r="N1024" s="139" t="s">
        <v>364</v>
      </c>
      <c r="O1024" s="139"/>
      <c r="P1024" s="143" t="s">
        <v>1954</v>
      </c>
      <c r="Q1024" s="39"/>
      <c r="R1024" s="39"/>
      <c r="S1024" s="39" t="s">
        <v>402</v>
      </c>
      <c r="T1024" s="32">
        <v>26.5</v>
      </c>
      <c r="U1024" s="39"/>
      <c r="V1024" s="39"/>
    </row>
    <row r="1025" spans="1:22">
      <c r="A1025" s="39"/>
      <c r="B1025" s="39" t="s">
        <v>507</v>
      </c>
      <c r="C1025" s="39" t="s">
        <v>1851</v>
      </c>
      <c r="D1025" s="157" t="s">
        <v>1947</v>
      </c>
      <c r="E1025" s="39" t="s">
        <v>129</v>
      </c>
      <c r="F1025" s="139" t="s">
        <v>1955</v>
      </c>
      <c r="G1025" s="157" t="s">
        <v>1949</v>
      </c>
      <c r="H1025" s="139">
        <v>1</v>
      </c>
      <c r="I1025" s="138" t="s">
        <v>109</v>
      </c>
      <c r="J1025" s="153">
        <v>46140</v>
      </c>
      <c r="K1025" s="139">
        <v>4000</v>
      </c>
      <c r="L1025" s="142">
        <v>0.13</v>
      </c>
      <c r="M1025" s="139">
        <f t="shared" si="30"/>
        <v>4000</v>
      </c>
      <c r="N1025" s="139" t="s">
        <v>364</v>
      </c>
      <c r="O1025" s="139"/>
      <c r="P1025" s="143" t="s">
        <v>1954</v>
      </c>
      <c r="Q1025" s="39"/>
      <c r="R1025" s="39"/>
      <c r="S1025" s="39" t="s">
        <v>402</v>
      </c>
      <c r="T1025" s="32">
        <v>26.5</v>
      </c>
      <c r="U1025" s="39"/>
      <c r="V1025" s="39"/>
    </row>
    <row r="1026" spans="1:22">
      <c r="A1026" s="39"/>
      <c r="B1026" s="157" t="s">
        <v>1421</v>
      </c>
      <c r="C1026" s="39" t="s">
        <v>1856</v>
      </c>
      <c r="D1026" s="157" t="s">
        <v>1495</v>
      </c>
      <c r="E1026" s="39" t="s">
        <v>129</v>
      </c>
      <c r="F1026" s="154" t="s">
        <v>1956</v>
      </c>
      <c r="G1026" s="154" t="s">
        <v>1949</v>
      </c>
      <c r="H1026" s="154">
        <v>48</v>
      </c>
      <c r="I1026" s="154" t="s">
        <v>109</v>
      </c>
      <c r="J1026" s="153">
        <v>46137</v>
      </c>
      <c r="K1026" s="148">
        <v>60</v>
      </c>
      <c r="L1026" s="173">
        <v>0.13</v>
      </c>
      <c r="M1026" s="139">
        <f t="shared" si="30"/>
        <v>2880</v>
      </c>
      <c r="N1026" s="139" t="s">
        <v>271</v>
      </c>
      <c r="O1026" s="139"/>
      <c r="P1026" s="143" t="s">
        <v>1957</v>
      </c>
      <c r="Q1026" s="39" t="s">
        <v>513</v>
      </c>
      <c r="R1026" s="39"/>
      <c r="S1026" s="146" t="s">
        <v>402</v>
      </c>
      <c r="T1026" s="44">
        <v>26.5</v>
      </c>
      <c r="U1026" s="39"/>
      <c r="V1026" s="39"/>
    </row>
    <row r="1027" spans="1:22">
      <c r="A1027" s="159"/>
      <c r="B1027" s="157" t="s">
        <v>1421</v>
      </c>
      <c r="C1027" s="39" t="s">
        <v>1856</v>
      </c>
      <c r="D1027" s="157" t="s">
        <v>1495</v>
      </c>
      <c r="E1027" s="39" t="s">
        <v>129</v>
      </c>
      <c r="F1027" s="174" t="s">
        <v>1958</v>
      </c>
      <c r="G1027" s="154" t="s">
        <v>1959</v>
      </c>
      <c r="H1027" s="154">
        <v>48</v>
      </c>
      <c r="I1027" s="174" t="s">
        <v>1536</v>
      </c>
      <c r="J1027" s="153">
        <v>46140</v>
      </c>
      <c r="K1027" s="175">
        <v>7.47</v>
      </c>
      <c r="L1027" s="176">
        <v>0.13</v>
      </c>
      <c r="M1027" s="139">
        <f t="shared" si="30"/>
        <v>358.56</v>
      </c>
      <c r="N1027" s="139" t="s">
        <v>364</v>
      </c>
      <c r="O1027" s="139"/>
      <c r="P1027" s="154" t="s">
        <v>1960</v>
      </c>
      <c r="Q1027" s="39" t="s">
        <v>513</v>
      </c>
      <c r="R1027" s="39"/>
      <c r="S1027" s="39" t="s">
        <v>402</v>
      </c>
      <c r="T1027" s="32">
        <v>26.5</v>
      </c>
      <c r="U1027" s="39"/>
      <c r="V1027" s="39"/>
    </row>
    <row r="1028" spans="1:22">
      <c r="A1028" s="39"/>
      <c r="B1028" s="157" t="s">
        <v>1421</v>
      </c>
      <c r="C1028" s="39" t="s">
        <v>1856</v>
      </c>
      <c r="D1028" s="157" t="s">
        <v>1495</v>
      </c>
      <c r="E1028" s="39" t="s">
        <v>129</v>
      </c>
      <c r="F1028" s="174" t="s">
        <v>1961</v>
      </c>
      <c r="G1028" s="154" t="s">
        <v>1959</v>
      </c>
      <c r="H1028" s="177">
        <v>1</v>
      </c>
      <c r="I1028" s="174" t="s">
        <v>1536</v>
      </c>
      <c r="J1028" s="153">
        <v>46140</v>
      </c>
      <c r="K1028" s="175">
        <v>1200</v>
      </c>
      <c r="L1028" s="176">
        <v>0.13</v>
      </c>
      <c r="M1028" s="139">
        <f t="shared" si="30"/>
        <v>1200</v>
      </c>
      <c r="N1028" s="139" t="s">
        <v>364</v>
      </c>
      <c r="O1028" s="139"/>
      <c r="P1028" s="154" t="s">
        <v>1960</v>
      </c>
      <c r="Q1028" s="39" t="s">
        <v>513</v>
      </c>
      <c r="R1028" s="39"/>
      <c r="S1028" s="39" t="s">
        <v>402</v>
      </c>
      <c r="T1028" s="32">
        <v>26.5</v>
      </c>
      <c r="U1028" s="39"/>
      <c r="V1028" s="39"/>
    </row>
    <row r="1029" spans="1:22">
      <c r="A1029" s="159"/>
      <c r="B1029" s="39" t="s">
        <v>1792</v>
      </c>
      <c r="C1029" s="39" t="s">
        <v>1856</v>
      </c>
      <c r="D1029" s="39" t="s">
        <v>337</v>
      </c>
      <c r="E1029" s="39" t="s">
        <v>129</v>
      </c>
      <c r="F1029" s="154" t="s">
        <v>1962</v>
      </c>
      <c r="G1029" s="155" t="s">
        <v>1963</v>
      </c>
      <c r="H1029" s="154">
        <v>4</v>
      </c>
      <c r="I1029" s="154" t="s">
        <v>316</v>
      </c>
      <c r="J1029" s="153">
        <v>46126</v>
      </c>
      <c r="K1029" s="148">
        <v>433.5</v>
      </c>
      <c r="L1029" s="173">
        <v>0.13</v>
      </c>
      <c r="M1029" s="139">
        <f>H1029*K1029</f>
        <v>1734</v>
      </c>
      <c r="N1029" s="139" t="s">
        <v>388</v>
      </c>
      <c r="O1029" s="160">
        <v>46126</v>
      </c>
      <c r="P1029" s="143" t="s">
        <v>1893</v>
      </c>
      <c r="Q1029" s="39" t="s">
        <v>513</v>
      </c>
      <c r="R1029" s="39"/>
      <c r="S1029" s="39"/>
      <c r="T1029" s="39"/>
      <c r="U1029" s="39"/>
      <c r="V1029" s="39"/>
    </row>
    <row r="1030" spans="1:22">
      <c r="A1030" s="39"/>
      <c r="B1030" s="150" t="s">
        <v>1602</v>
      </c>
      <c r="C1030" s="39" t="s">
        <v>1964</v>
      </c>
      <c r="D1030" s="39"/>
      <c r="E1030" s="39" t="s">
        <v>129</v>
      </c>
      <c r="F1030" s="158" t="s">
        <v>1965</v>
      </c>
      <c r="G1030" s="158" t="s">
        <v>1966</v>
      </c>
      <c r="H1030" s="158">
        <v>1</v>
      </c>
      <c r="I1030" s="139" t="s">
        <v>109</v>
      </c>
      <c r="J1030" s="153">
        <v>46130</v>
      </c>
      <c r="K1030" s="141">
        <v>13</v>
      </c>
      <c r="L1030" s="142">
        <v>0.01</v>
      </c>
      <c r="M1030" s="139">
        <f>K1030*H1030</f>
        <v>13</v>
      </c>
      <c r="N1030" s="39" t="s">
        <v>519</v>
      </c>
      <c r="O1030" s="147">
        <v>46129</v>
      </c>
      <c r="P1030" s="143"/>
      <c r="Q1030" s="39" t="s">
        <v>513</v>
      </c>
      <c r="R1030" s="39"/>
      <c r="S1030" s="39" t="s">
        <v>402</v>
      </c>
      <c r="T1030" s="39">
        <v>26.5</v>
      </c>
      <c r="U1030" s="39"/>
      <c r="V1030" s="39"/>
    </row>
    <row r="1031" spans="1:22">
      <c r="A1031" s="39"/>
      <c r="B1031" s="150"/>
      <c r="C1031" s="39"/>
      <c r="D1031" s="39"/>
      <c r="E1031" s="39" t="s">
        <v>129</v>
      </c>
      <c r="F1031" s="158" t="s">
        <v>1967</v>
      </c>
      <c r="G1031" s="158" t="s">
        <v>1968</v>
      </c>
      <c r="H1031" s="158">
        <v>1</v>
      </c>
      <c r="I1031" s="139" t="s">
        <v>109</v>
      </c>
      <c r="J1031" s="153">
        <v>46130</v>
      </c>
      <c r="K1031" s="141">
        <v>3.5</v>
      </c>
      <c r="L1031" s="142">
        <v>0.01</v>
      </c>
      <c r="M1031" s="139">
        <f>K1031*H1031</f>
        <v>3.5</v>
      </c>
      <c r="N1031" s="39" t="s">
        <v>519</v>
      </c>
      <c r="O1031" s="147">
        <v>46130</v>
      </c>
      <c r="P1031" s="143"/>
      <c r="Q1031" s="39" t="s">
        <v>513</v>
      </c>
      <c r="R1031" s="39"/>
      <c r="S1031" s="39" t="s">
        <v>402</v>
      </c>
      <c r="T1031" s="39">
        <v>26.5</v>
      </c>
      <c r="U1031" s="39"/>
      <c r="V1031" s="39"/>
    </row>
    <row r="1032" spans="1:22">
      <c r="A1032" s="39"/>
      <c r="B1032" s="150"/>
      <c r="C1032" s="39"/>
      <c r="D1032" s="39"/>
      <c r="E1032" s="39" t="s">
        <v>129</v>
      </c>
      <c r="F1032" s="158" t="s">
        <v>1967</v>
      </c>
      <c r="G1032" s="158" t="s">
        <v>1969</v>
      </c>
      <c r="H1032" s="158">
        <v>1</v>
      </c>
      <c r="I1032" s="139" t="s">
        <v>109</v>
      </c>
      <c r="J1032" s="153">
        <v>46130</v>
      </c>
      <c r="K1032" s="141">
        <v>3.5</v>
      </c>
      <c r="L1032" s="142">
        <v>0.01</v>
      </c>
      <c r="M1032" s="139">
        <f>K1032*H1032</f>
        <v>3.5</v>
      </c>
      <c r="N1032" s="39" t="s">
        <v>519</v>
      </c>
      <c r="O1032" s="147">
        <v>46130</v>
      </c>
      <c r="P1032" s="143"/>
      <c r="Q1032" s="39" t="s">
        <v>513</v>
      </c>
      <c r="R1032" s="39"/>
      <c r="S1032" s="39" t="s">
        <v>402</v>
      </c>
      <c r="T1032" s="39">
        <v>26.5</v>
      </c>
      <c r="U1032" s="39"/>
      <c r="V1032" s="39"/>
    </row>
    <row r="1033" spans="1:22">
      <c r="A1033" s="39"/>
      <c r="B1033" s="150"/>
      <c r="C1033" s="39"/>
      <c r="D1033" s="39"/>
      <c r="E1033" s="39" t="s">
        <v>129</v>
      </c>
      <c r="F1033" s="158" t="s">
        <v>1967</v>
      </c>
      <c r="G1033" s="138" t="s">
        <v>1970</v>
      </c>
      <c r="H1033" s="158">
        <v>1</v>
      </c>
      <c r="I1033" s="139" t="s">
        <v>109</v>
      </c>
      <c r="J1033" s="153">
        <v>46130</v>
      </c>
      <c r="K1033" s="141">
        <v>2.5</v>
      </c>
      <c r="L1033" s="142">
        <v>0.01</v>
      </c>
      <c r="M1033" s="139">
        <f>K1033*H1033</f>
        <v>2.5</v>
      </c>
      <c r="N1033" s="39" t="s">
        <v>519</v>
      </c>
      <c r="O1033" s="147">
        <v>46130</v>
      </c>
      <c r="P1033" s="143"/>
      <c r="Q1033" s="39" t="s">
        <v>513</v>
      </c>
      <c r="R1033" s="39"/>
      <c r="S1033" s="39" t="s">
        <v>402</v>
      </c>
      <c r="T1033" s="39">
        <v>26.5</v>
      </c>
      <c r="U1033" s="39"/>
      <c r="V1033" s="39"/>
    </row>
    <row r="1034" spans="1:22">
      <c r="A1034" s="39"/>
      <c r="B1034" s="150" t="s">
        <v>1582</v>
      </c>
      <c r="C1034" s="157" t="s">
        <v>1851</v>
      </c>
      <c r="D1034" s="39"/>
      <c r="E1034" s="39" t="s">
        <v>129</v>
      </c>
      <c r="F1034" s="157" t="s">
        <v>1971</v>
      </c>
      <c r="G1034" s="158" t="s">
        <v>1972</v>
      </c>
      <c r="H1034" s="158">
        <v>5</v>
      </c>
      <c r="I1034" s="139" t="s">
        <v>109</v>
      </c>
      <c r="J1034" s="153">
        <v>46132</v>
      </c>
      <c r="K1034" s="141">
        <v>8</v>
      </c>
      <c r="L1034" s="142">
        <v>0.01</v>
      </c>
      <c r="M1034" s="139">
        <f>K1034*H1034</f>
        <v>40</v>
      </c>
      <c r="N1034" s="39" t="s">
        <v>519</v>
      </c>
      <c r="O1034" s="147">
        <v>46130</v>
      </c>
      <c r="P1034" s="143"/>
      <c r="Q1034" s="39" t="s">
        <v>513</v>
      </c>
      <c r="R1034" s="39"/>
      <c r="S1034" s="39" t="s">
        <v>402</v>
      </c>
      <c r="T1034" s="39">
        <v>26.5</v>
      </c>
      <c r="U1034" s="39"/>
      <c r="V1034" s="39"/>
    </row>
    <row r="1035" spans="1:22">
      <c r="A1035" s="39"/>
      <c r="B1035" s="150" t="s">
        <v>1582</v>
      </c>
      <c r="C1035" s="157" t="s">
        <v>1851</v>
      </c>
      <c r="D1035" s="39"/>
      <c r="E1035" s="39" t="s">
        <v>129</v>
      </c>
      <c r="F1035" s="157" t="s">
        <v>1971</v>
      </c>
      <c r="G1035" s="158" t="s">
        <v>1973</v>
      </c>
      <c r="H1035" s="158">
        <v>5</v>
      </c>
      <c r="I1035" s="139" t="s">
        <v>109</v>
      </c>
      <c r="J1035" s="153">
        <v>46132</v>
      </c>
      <c r="K1035" s="141">
        <v>6</v>
      </c>
      <c r="L1035" s="142">
        <v>0.01</v>
      </c>
      <c r="M1035" s="139">
        <f t="shared" ref="M1035:M1098" si="31">K1035*H1035</f>
        <v>30</v>
      </c>
      <c r="N1035" s="39" t="s">
        <v>519</v>
      </c>
      <c r="O1035" s="147">
        <v>46130</v>
      </c>
      <c r="P1035" s="143"/>
      <c r="Q1035" s="39" t="s">
        <v>513</v>
      </c>
      <c r="R1035" s="39"/>
      <c r="S1035" s="39" t="s">
        <v>402</v>
      </c>
      <c r="T1035" s="39">
        <v>26.5</v>
      </c>
      <c r="U1035" s="39"/>
      <c r="V1035" s="39"/>
    </row>
    <row r="1036" s="34" customFormat="1" spans="1:22">
      <c r="A1036" s="150"/>
      <c r="B1036" s="178" t="s">
        <v>1463</v>
      </c>
      <c r="C1036" s="178" t="s">
        <v>1851</v>
      </c>
      <c r="D1036" s="150"/>
      <c r="E1036" s="150" t="s">
        <v>129</v>
      </c>
      <c r="F1036" s="179" t="s">
        <v>1974</v>
      </c>
      <c r="G1036" s="179" t="s">
        <v>1975</v>
      </c>
      <c r="H1036" s="179">
        <v>4</v>
      </c>
      <c r="I1036" s="180" t="s">
        <v>109</v>
      </c>
      <c r="J1036" s="181">
        <v>46134</v>
      </c>
      <c r="K1036" s="182">
        <v>135</v>
      </c>
      <c r="L1036" s="183">
        <v>0.01</v>
      </c>
      <c r="M1036" s="180">
        <f t="shared" si="31"/>
        <v>540</v>
      </c>
      <c r="N1036" s="150" t="s">
        <v>519</v>
      </c>
      <c r="O1036" s="184">
        <v>46134</v>
      </c>
      <c r="P1036" s="185"/>
      <c r="Q1036" s="150"/>
      <c r="R1036" s="150"/>
      <c r="S1036" s="150" t="s">
        <v>402</v>
      </c>
      <c r="T1036" s="150">
        <v>26.5</v>
      </c>
      <c r="U1036" s="150"/>
      <c r="V1036" s="150"/>
    </row>
    <row r="1037" spans="1:22">
      <c r="A1037" s="39"/>
      <c r="B1037" s="178" t="s">
        <v>1406</v>
      </c>
      <c r="C1037" s="157" t="s">
        <v>1851</v>
      </c>
      <c r="D1037" s="39"/>
      <c r="E1037" s="39" t="s">
        <v>129</v>
      </c>
      <c r="F1037" s="158" t="s">
        <v>1976</v>
      </c>
      <c r="G1037" s="158" t="s">
        <v>1977</v>
      </c>
      <c r="H1037" s="158">
        <v>1</v>
      </c>
      <c r="I1037" s="139" t="s">
        <v>109</v>
      </c>
      <c r="J1037" s="153">
        <v>46134</v>
      </c>
      <c r="K1037" s="141">
        <v>99</v>
      </c>
      <c r="L1037" s="142">
        <v>0.01</v>
      </c>
      <c r="M1037" s="139">
        <f t="shared" si="31"/>
        <v>99</v>
      </c>
      <c r="N1037" s="39" t="s">
        <v>519</v>
      </c>
      <c r="O1037" s="160">
        <v>46134</v>
      </c>
      <c r="P1037" s="143"/>
      <c r="Q1037" s="39"/>
      <c r="R1037" s="39"/>
      <c r="S1037" s="39" t="s">
        <v>402</v>
      </c>
      <c r="T1037" s="39">
        <v>26.5</v>
      </c>
      <c r="U1037" s="39"/>
      <c r="V1037" s="39"/>
    </row>
    <row r="1038" spans="1:22">
      <c r="A1038" s="39"/>
      <c r="B1038" s="178" t="s">
        <v>1406</v>
      </c>
      <c r="C1038" s="157" t="s">
        <v>1851</v>
      </c>
      <c r="D1038" s="39"/>
      <c r="E1038" s="39" t="s">
        <v>129</v>
      </c>
      <c r="F1038" s="158" t="s">
        <v>1978</v>
      </c>
      <c r="G1038" s="158" t="s">
        <v>1979</v>
      </c>
      <c r="H1038" s="158">
        <v>1</v>
      </c>
      <c r="I1038" s="139" t="s">
        <v>109</v>
      </c>
      <c r="J1038" s="153">
        <v>46134</v>
      </c>
      <c r="K1038" s="141">
        <v>82.5</v>
      </c>
      <c r="L1038" s="142">
        <v>0.01</v>
      </c>
      <c r="M1038" s="139">
        <f t="shared" si="31"/>
        <v>82.5</v>
      </c>
      <c r="N1038" s="39" t="s">
        <v>519</v>
      </c>
      <c r="O1038" s="160">
        <v>46134</v>
      </c>
      <c r="P1038" s="143"/>
      <c r="Q1038" s="39"/>
      <c r="R1038" s="39"/>
      <c r="S1038" s="39" t="s">
        <v>402</v>
      </c>
      <c r="T1038" s="39">
        <v>26.5</v>
      </c>
      <c r="U1038" s="39"/>
      <c r="V1038" s="39"/>
    </row>
    <row r="1039" spans="1:22">
      <c r="A1039" s="39"/>
      <c r="B1039" s="178" t="s">
        <v>1442</v>
      </c>
      <c r="C1039" s="157" t="s">
        <v>1851</v>
      </c>
      <c r="D1039" s="39"/>
      <c r="E1039" s="39" t="s">
        <v>129</v>
      </c>
      <c r="F1039" s="158" t="s">
        <v>1361</v>
      </c>
      <c r="G1039" s="138" t="s">
        <v>1980</v>
      </c>
      <c r="H1039" s="158">
        <v>20</v>
      </c>
      <c r="I1039" s="139" t="s">
        <v>109</v>
      </c>
      <c r="J1039" s="153">
        <v>46134</v>
      </c>
      <c r="K1039" s="141">
        <v>0.8</v>
      </c>
      <c r="L1039" s="142">
        <v>0.01</v>
      </c>
      <c r="M1039" s="139">
        <f t="shared" si="31"/>
        <v>16</v>
      </c>
      <c r="N1039" s="39" t="s">
        <v>519</v>
      </c>
      <c r="O1039" s="160">
        <v>46134</v>
      </c>
      <c r="P1039" s="143"/>
      <c r="Q1039" s="39"/>
      <c r="R1039" s="39"/>
      <c r="S1039" s="39" t="s">
        <v>402</v>
      </c>
      <c r="T1039" s="39">
        <v>26.5</v>
      </c>
      <c r="U1039" s="39"/>
      <c r="V1039" s="39"/>
    </row>
    <row r="1040" spans="1:22">
      <c r="A1040" s="39"/>
      <c r="B1040" s="178" t="s">
        <v>1412</v>
      </c>
      <c r="C1040" s="39" t="s">
        <v>1504</v>
      </c>
      <c r="D1040" s="157" t="s">
        <v>1981</v>
      </c>
      <c r="E1040" s="39" t="s">
        <v>129</v>
      </c>
      <c r="F1040" s="157" t="s">
        <v>1982</v>
      </c>
      <c r="G1040" s="157" t="s">
        <v>1983</v>
      </c>
      <c r="H1040" s="139">
        <v>1</v>
      </c>
      <c r="I1040" s="139" t="s">
        <v>109</v>
      </c>
      <c r="J1040" s="153">
        <v>46127</v>
      </c>
      <c r="K1040" s="139">
        <v>44</v>
      </c>
      <c r="L1040" s="142">
        <v>0.01</v>
      </c>
      <c r="M1040" s="139">
        <f t="shared" si="31"/>
        <v>44</v>
      </c>
      <c r="N1040" s="39" t="s">
        <v>519</v>
      </c>
      <c r="O1040" s="153">
        <v>46127</v>
      </c>
      <c r="P1040" s="143"/>
      <c r="Q1040" s="39" t="s">
        <v>513</v>
      </c>
      <c r="R1040" s="39"/>
      <c r="S1040" s="39" t="s">
        <v>402</v>
      </c>
      <c r="T1040" s="39">
        <v>26.5</v>
      </c>
      <c r="U1040" s="39"/>
      <c r="V1040" s="39"/>
    </row>
    <row r="1041" spans="1:22">
      <c r="A1041" s="186"/>
      <c r="B1041" s="150" t="s">
        <v>1434</v>
      </c>
      <c r="C1041" s="39" t="s">
        <v>1984</v>
      </c>
      <c r="D1041" s="39"/>
      <c r="E1041" s="39" t="s">
        <v>129</v>
      </c>
      <c r="F1041" s="139" t="s">
        <v>1985</v>
      </c>
      <c r="G1041" s="39" t="s">
        <v>1986</v>
      </c>
      <c r="H1041" s="139">
        <v>36</v>
      </c>
      <c r="I1041" s="139" t="s">
        <v>241</v>
      </c>
      <c r="J1041" s="147">
        <v>46149</v>
      </c>
      <c r="K1041" s="139">
        <v>19.5</v>
      </c>
      <c r="L1041" s="142">
        <v>0.01</v>
      </c>
      <c r="M1041" s="139">
        <f t="shared" si="31"/>
        <v>702</v>
      </c>
      <c r="N1041" s="39" t="s">
        <v>519</v>
      </c>
      <c r="O1041" s="139"/>
      <c r="P1041" s="143"/>
      <c r="Q1041" s="39" t="s">
        <v>513</v>
      </c>
      <c r="R1041" s="39"/>
      <c r="S1041" s="39" t="s">
        <v>402</v>
      </c>
      <c r="T1041" s="39">
        <v>26.5</v>
      </c>
      <c r="U1041" s="39"/>
      <c r="V1041" s="39"/>
    </row>
    <row r="1042" spans="1:22">
      <c r="A1042" s="39"/>
      <c r="B1042" s="150" t="s">
        <v>1434</v>
      </c>
      <c r="C1042" s="39" t="s">
        <v>1984</v>
      </c>
      <c r="D1042" s="39"/>
      <c r="E1042" s="39" t="s">
        <v>129</v>
      </c>
      <c r="F1042" s="139" t="s">
        <v>1987</v>
      </c>
      <c r="G1042" s="39" t="s">
        <v>1988</v>
      </c>
      <c r="H1042" s="139">
        <v>1</v>
      </c>
      <c r="I1042" s="139" t="s">
        <v>46</v>
      </c>
      <c r="J1042" s="147">
        <v>46149</v>
      </c>
      <c r="K1042" s="139">
        <v>143</v>
      </c>
      <c r="L1042" s="142">
        <v>0.01</v>
      </c>
      <c r="M1042" s="139">
        <f t="shared" si="31"/>
        <v>143</v>
      </c>
      <c r="N1042" s="39" t="s">
        <v>519</v>
      </c>
      <c r="O1042" s="139"/>
      <c r="P1042" s="143"/>
      <c r="Q1042" s="39" t="s">
        <v>513</v>
      </c>
      <c r="R1042" s="39"/>
      <c r="S1042" s="39" t="s">
        <v>402</v>
      </c>
      <c r="T1042" s="39">
        <v>26.5</v>
      </c>
      <c r="U1042" s="39"/>
      <c r="V1042" s="39"/>
    </row>
    <row r="1043" spans="1:22">
      <c r="A1043" s="39"/>
      <c r="B1043" s="150" t="s">
        <v>1434</v>
      </c>
      <c r="C1043" s="39" t="s">
        <v>1984</v>
      </c>
      <c r="D1043" s="39"/>
      <c r="E1043" s="39" t="s">
        <v>129</v>
      </c>
      <c r="F1043" s="139" t="s">
        <v>1336</v>
      </c>
      <c r="G1043" s="39" t="s">
        <v>1989</v>
      </c>
      <c r="H1043" s="139">
        <v>1</v>
      </c>
      <c r="I1043" s="139" t="s">
        <v>457</v>
      </c>
      <c r="J1043" s="147">
        <v>46149</v>
      </c>
      <c r="K1043" s="139">
        <v>88</v>
      </c>
      <c r="L1043" s="142">
        <v>0.01</v>
      </c>
      <c r="M1043" s="139">
        <f t="shared" si="31"/>
        <v>88</v>
      </c>
      <c r="N1043" s="39" t="s">
        <v>519</v>
      </c>
      <c r="O1043" s="139"/>
      <c r="P1043" s="143"/>
      <c r="Q1043" s="39" t="s">
        <v>513</v>
      </c>
      <c r="R1043" s="39"/>
      <c r="S1043" s="39" t="s">
        <v>402</v>
      </c>
      <c r="T1043" s="39">
        <v>26.5</v>
      </c>
      <c r="U1043" s="39"/>
      <c r="V1043" s="39"/>
    </row>
    <row r="1044" spans="1:22">
      <c r="A1044" s="39"/>
      <c r="B1044" s="150" t="s">
        <v>1746</v>
      </c>
      <c r="C1044" s="39" t="s">
        <v>1504</v>
      </c>
      <c r="D1044" s="39" t="s">
        <v>1990</v>
      </c>
      <c r="E1044" s="39" t="s">
        <v>129</v>
      </c>
      <c r="F1044" s="139" t="s">
        <v>1991</v>
      </c>
      <c r="G1044" s="39" t="s">
        <v>1992</v>
      </c>
      <c r="H1044" s="139">
        <v>10</v>
      </c>
      <c r="I1044" s="139" t="s">
        <v>109</v>
      </c>
      <c r="J1044" s="147">
        <v>46134</v>
      </c>
      <c r="K1044" s="139">
        <v>1.2</v>
      </c>
      <c r="L1044" s="142">
        <v>0.01</v>
      </c>
      <c r="M1044" s="139">
        <f t="shared" si="31"/>
        <v>12</v>
      </c>
      <c r="N1044" s="39" t="s">
        <v>519</v>
      </c>
      <c r="O1044" s="139"/>
      <c r="P1044" s="143"/>
      <c r="Q1044" s="39" t="s">
        <v>513</v>
      </c>
      <c r="R1044" s="39"/>
      <c r="S1044" s="39" t="s">
        <v>402</v>
      </c>
      <c r="T1044" s="39">
        <v>26.5</v>
      </c>
      <c r="U1044" s="39"/>
      <c r="V1044" s="39"/>
    </row>
    <row r="1045" spans="1:22">
      <c r="A1045" s="39"/>
      <c r="B1045" s="150" t="s">
        <v>1465</v>
      </c>
      <c r="C1045" s="39" t="s">
        <v>1851</v>
      </c>
      <c r="D1045" s="157" t="s">
        <v>1993</v>
      </c>
      <c r="E1045" s="39" t="s">
        <v>129</v>
      </c>
      <c r="F1045" s="139" t="s">
        <v>1994</v>
      </c>
      <c r="G1045" s="139" t="s">
        <v>1995</v>
      </c>
      <c r="H1045" s="139">
        <v>1</v>
      </c>
      <c r="I1045" s="139" t="s">
        <v>109</v>
      </c>
      <c r="J1045" s="147">
        <v>46139</v>
      </c>
      <c r="K1045" s="139">
        <v>220</v>
      </c>
      <c r="L1045" s="142">
        <v>0.01</v>
      </c>
      <c r="M1045" s="139">
        <f t="shared" si="31"/>
        <v>220</v>
      </c>
      <c r="N1045" s="39" t="s">
        <v>519</v>
      </c>
      <c r="O1045" s="139"/>
      <c r="P1045" s="143"/>
      <c r="Q1045" s="39" t="s">
        <v>513</v>
      </c>
      <c r="R1045" s="39"/>
      <c r="S1045" s="39" t="s">
        <v>402</v>
      </c>
      <c r="T1045" s="39">
        <v>26.5</v>
      </c>
      <c r="U1045" s="39"/>
      <c r="V1045" s="39"/>
    </row>
    <row r="1046" spans="1:22">
      <c r="A1046" s="39"/>
      <c r="B1046" s="150" t="s">
        <v>507</v>
      </c>
      <c r="C1046" s="39" t="s">
        <v>1856</v>
      </c>
      <c r="D1046" s="157" t="s">
        <v>1996</v>
      </c>
      <c r="E1046" s="39" t="s">
        <v>129</v>
      </c>
      <c r="F1046" s="139" t="s">
        <v>108</v>
      </c>
      <c r="G1046" s="139" t="s">
        <v>1997</v>
      </c>
      <c r="H1046" s="139">
        <v>100</v>
      </c>
      <c r="I1046" s="139" t="s">
        <v>109</v>
      </c>
      <c r="J1046" s="147">
        <v>46136</v>
      </c>
      <c r="K1046" s="139">
        <v>2.24</v>
      </c>
      <c r="L1046" s="142">
        <v>0.01</v>
      </c>
      <c r="M1046" s="139">
        <f t="shared" si="31"/>
        <v>224</v>
      </c>
      <c r="N1046" s="39" t="s">
        <v>519</v>
      </c>
      <c r="O1046" s="139"/>
      <c r="P1046" s="143"/>
      <c r="Q1046" s="39" t="s">
        <v>513</v>
      </c>
      <c r="R1046" s="39"/>
      <c r="S1046" s="39" t="s">
        <v>402</v>
      </c>
      <c r="T1046" s="39">
        <v>26.5</v>
      </c>
      <c r="U1046" s="39"/>
      <c r="V1046" s="39"/>
    </row>
    <row r="1047" spans="1:22">
      <c r="A1047" s="39"/>
      <c r="B1047" s="150" t="s">
        <v>1442</v>
      </c>
      <c r="C1047" s="39" t="s">
        <v>1851</v>
      </c>
      <c r="D1047" s="157" t="s">
        <v>1998</v>
      </c>
      <c r="E1047" s="39" t="s">
        <v>129</v>
      </c>
      <c r="F1047" s="139" t="s">
        <v>1999</v>
      </c>
      <c r="G1047" s="139" t="s">
        <v>2000</v>
      </c>
      <c r="H1047" s="139">
        <v>1</v>
      </c>
      <c r="I1047" s="139" t="s">
        <v>109</v>
      </c>
      <c r="J1047" s="147">
        <v>46141</v>
      </c>
      <c r="K1047" s="139">
        <v>898</v>
      </c>
      <c r="L1047" s="142">
        <v>0.01</v>
      </c>
      <c r="M1047" s="139">
        <f t="shared" si="31"/>
        <v>898</v>
      </c>
      <c r="N1047" s="39" t="s">
        <v>519</v>
      </c>
      <c r="O1047" s="139"/>
      <c r="P1047" s="143"/>
      <c r="Q1047" s="39" t="s">
        <v>513</v>
      </c>
      <c r="R1047" s="39"/>
      <c r="S1047" s="39" t="s">
        <v>402</v>
      </c>
      <c r="T1047" s="39">
        <v>26.5</v>
      </c>
      <c r="U1047" s="39"/>
      <c r="V1047" s="39"/>
    </row>
    <row r="1048" spans="1:22">
      <c r="A1048" s="39"/>
      <c r="B1048" s="150" t="s">
        <v>1442</v>
      </c>
      <c r="C1048" s="39" t="s">
        <v>1851</v>
      </c>
      <c r="D1048" s="157" t="s">
        <v>1998</v>
      </c>
      <c r="E1048" s="39" t="s">
        <v>129</v>
      </c>
      <c r="F1048" s="139" t="s">
        <v>818</v>
      </c>
      <c r="G1048" s="139" t="s">
        <v>2001</v>
      </c>
      <c r="H1048" s="139">
        <v>1</v>
      </c>
      <c r="I1048" s="139" t="s">
        <v>109</v>
      </c>
      <c r="J1048" s="147">
        <v>46141</v>
      </c>
      <c r="K1048" s="139">
        <v>623</v>
      </c>
      <c r="L1048" s="142">
        <v>0.01</v>
      </c>
      <c r="M1048" s="139">
        <f t="shared" si="31"/>
        <v>623</v>
      </c>
      <c r="N1048" s="39" t="s">
        <v>519</v>
      </c>
      <c r="O1048" s="139"/>
      <c r="P1048" s="143"/>
      <c r="Q1048" s="39" t="s">
        <v>513</v>
      </c>
      <c r="R1048" s="39"/>
      <c r="S1048" s="39" t="s">
        <v>402</v>
      </c>
      <c r="T1048" s="39">
        <v>26.5</v>
      </c>
      <c r="U1048" s="39"/>
      <c r="V1048" s="39"/>
    </row>
    <row r="1049" spans="1:22">
      <c r="A1049" s="39"/>
      <c r="B1049" s="150" t="s">
        <v>1493</v>
      </c>
      <c r="C1049" s="39" t="s">
        <v>1851</v>
      </c>
      <c r="D1049" s="157" t="s">
        <v>2002</v>
      </c>
      <c r="E1049" s="39" t="s">
        <v>129</v>
      </c>
      <c r="F1049" s="139" t="s">
        <v>2003</v>
      </c>
      <c r="G1049" s="139" t="s">
        <v>2004</v>
      </c>
      <c r="H1049" s="139">
        <v>1</v>
      </c>
      <c r="I1049" s="139" t="s">
        <v>109</v>
      </c>
      <c r="J1049" s="147">
        <v>46137</v>
      </c>
      <c r="K1049" s="139">
        <v>143</v>
      </c>
      <c r="L1049" s="142">
        <v>0.01</v>
      </c>
      <c r="M1049" s="139">
        <f t="shared" si="31"/>
        <v>143</v>
      </c>
      <c r="N1049" s="39" t="s">
        <v>519</v>
      </c>
      <c r="O1049" s="139"/>
      <c r="P1049" s="143"/>
      <c r="Q1049" s="39" t="s">
        <v>513</v>
      </c>
      <c r="R1049" s="39"/>
      <c r="S1049" s="39" t="s">
        <v>402</v>
      </c>
      <c r="T1049" s="39">
        <v>26.5</v>
      </c>
      <c r="U1049" s="39"/>
      <c r="V1049" s="39"/>
    </row>
    <row r="1050" spans="1:22">
      <c r="A1050" s="39"/>
      <c r="B1050" s="150" t="s">
        <v>1442</v>
      </c>
      <c r="C1050" s="39" t="s">
        <v>1851</v>
      </c>
      <c r="D1050" s="157" t="s">
        <v>2005</v>
      </c>
      <c r="E1050" s="39" t="s">
        <v>129</v>
      </c>
      <c r="F1050" s="139" t="s">
        <v>1753</v>
      </c>
      <c r="G1050" s="139" t="s">
        <v>1754</v>
      </c>
      <c r="H1050" s="139">
        <v>10</v>
      </c>
      <c r="I1050" s="139" t="s">
        <v>109</v>
      </c>
      <c r="J1050" s="147">
        <v>46141</v>
      </c>
      <c r="K1050" s="139">
        <v>2</v>
      </c>
      <c r="L1050" s="142">
        <v>0.01</v>
      </c>
      <c r="M1050" s="139">
        <f t="shared" si="31"/>
        <v>20</v>
      </c>
      <c r="N1050" s="39" t="s">
        <v>519</v>
      </c>
      <c r="O1050" s="139"/>
      <c r="P1050" s="143"/>
      <c r="Q1050" s="39" t="s">
        <v>513</v>
      </c>
      <c r="R1050" s="39"/>
      <c r="S1050" s="39" t="s">
        <v>402</v>
      </c>
      <c r="T1050" s="39">
        <v>26.5</v>
      </c>
      <c r="U1050" s="39"/>
      <c r="V1050" s="39"/>
    </row>
    <row r="1051" spans="1:22">
      <c r="A1051" s="39"/>
      <c r="B1051" s="39" t="s">
        <v>1453</v>
      </c>
      <c r="C1051" s="39" t="s">
        <v>1856</v>
      </c>
      <c r="D1051" s="157" t="s">
        <v>2006</v>
      </c>
      <c r="E1051" s="39" t="s">
        <v>129</v>
      </c>
      <c r="F1051" s="139" t="s">
        <v>54</v>
      </c>
      <c r="G1051" s="39" t="s">
        <v>2007</v>
      </c>
      <c r="H1051" s="139">
        <v>100</v>
      </c>
      <c r="I1051" s="139" t="s">
        <v>131</v>
      </c>
      <c r="J1051" s="147">
        <v>46136</v>
      </c>
      <c r="K1051" s="139">
        <v>4.75</v>
      </c>
      <c r="L1051" s="142">
        <v>0.13</v>
      </c>
      <c r="M1051" s="139">
        <f t="shared" si="31"/>
        <v>475</v>
      </c>
      <c r="N1051" s="139" t="s">
        <v>388</v>
      </c>
      <c r="O1051" s="140">
        <v>46135</v>
      </c>
      <c r="P1051" s="143" t="s">
        <v>2008</v>
      </c>
      <c r="Q1051" s="39" t="s">
        <v>513</v>
      </c>
      <c r="R1051" s="39"/>
      <c r="S1051" s="39"/>
      <c r="T1051" s="39"/>
      <c r="U1051" s="39"/>
      <c r="V1051" s="39"/>
    </row>
    <row r="1052" spans="1:22">
      <c r="A1052" s="39"/>
      <c r="B1052" s="150" t="s">
        <v>1412</v>
      </c>
      <c r="C1052" s="39" t="s">
        <v>1504</v>
      </c>
      <c r="D1052" s="157" t="s">
        <v>2009</v>
      </c>
      <c r="E1052" s="39" t="s">
        <v>129</v>
      </c>
      <c r="F1052" s="139" t="s">
        <v>1787</v>
      </c>
      <c r="G1052" s="39" t="s">
        <v>2010</v>
      </c>
      <c r="H1052" s="139">
        <v>2</v>
      </c>
      <c r="I1052" s="139" t="s">
        <v>316</v>
      </c>
      <c r="J1052" s="147">
        <v>46138</v>
      </c>
      <c r="K1052" s="139">
        <v>5</v>
      </c>
      <c r="L1052" s="142">
        <v>0.01</v>
      </c>
      <c r="M1052" s="139">
        <f t="shared" si="31"/>
        <v>10</v>
      </c>
      <c r="N1052" s="39" t="s">
        <v>519</v>
      </c>
      <c r="O1052" s="139"/>
      <c r="P1052" s="143"/>
      <c r="Q1052" s="39" t="s">
        <v>513</v>
      </c>
      <c r="R1052" s="39"/>
      <c r="S1052" s="39" t="s">
        <v>402</v>
      </c>
      <c r="T1052" s="39">
        <v>26.5</v>
      </c>
      <c r="U1052" s="39"/>
      <c r="V1052" s="39"/>
    </row>
    <row r="1053" spans="1:22">
      <c r="A1053" s="39"/>
      <c r="B1053" s="150" t="s">
        <v>2011</v>
      </c>
      <c r="C1053" s="39"/>
      <c r="D1053" s="39"/>
      <c r="E1053" s="39" t="s">
        <v>129</v>
      </c>
      <c r="F1053" s="139" t="s">
        <v>2012</v>
      </c>
      <c r="G1053" s="39" t="s">
        <v>2013</v>
      </c>
      <c r="H1053" s="139">
        <v>1</v>
      </c>
      <c r="I1053" s="139" t="s">
        <v>109</v>
      </c>
      <c r="J1053" s="39" t="s">
        <v>2014</v>
      </c>
      <c r="K1053" s="139">
        <v>1320</v>
      </c>
      <c r="L1053" s="142">
        <v>0.01</v>
      </c>
      <c r="M1053" s="139">
        <f t="shared" si="31"/>
        <v>1320</v>
      </c>
      <c r="N1053" s="39" t="s">
        <v>519</v>
      </c>
      <c r="O1053" s="139"/>
      <c r="P1053" s="143"/>
      <c r="Q1053" s="39" t="s">
        <v>513</v>
      </c>
      <c r="R1053" s="39"/>
      <c r="S1053" s="39" t="s">
        <v>402</v>
      </c>
      <c r="T1053" s="39">
        <v>26.5</v>
      </c>
      <c r="U1053" s="39"/>
      <c r="V1053" s="39"/>
    </row>
    <row r="1054" spans="1:22">
      <c r="A1054" s="39"/>
      <c r="B1054" s="150" t="s">
        <v>1406</v>
      </c>
      <c r="C1054" s="39" t="s">
        <v>1504</v>
      </c>
      <c r="D1054" s="39" t="s">
        <v>2015</v>
      </c>
      <c r="E1054" s="39" t="s">
        <v>129</v>
      </c>
      <c r="F1054" s="139" t="s">
        <v>804</v>
      </c>
      <c r="G1054" s="39" t="s">
        <v>2016</v>
      </c>
      <c r="H1054" s="139">
        <v>24</v>
      </c>
      <c r="I1054" s="139" t="s">
        <v>533</v>
      </c>
      <c r="J1054" s="147">
        <v>46136</v>
      </c>
      <c r="K1054" s="139">
        <f>M1054/H1054</f>
        <v>14.5833333333333</v>
      </c>
      <c r="L1054" s="142">
        <v>0.01</v>
      </c>
      <c r="M1054" s="139">
        <v>350</v>
      </c>
      <c r="N1054" s="39" t="s">
        <v>519</v>
      </c>
      <c r="O1054" s="139"/>
      <c r="P1054" s="143"/>
      <c r="Q1054" s="39" t="s">
        <v>513</v>
      </c>
      <c r="R1054" s="39"/>
      <c r="S1054" s="39" t="s">
        <v>402</v>
      </c>
      <c r="T1054" s="39">
        <v>26.5</v>
      </c>
      <c r="U1054" s="39"/>
      <c r="V1054" s="39"/>
    </row>
    <row r="1055" spans="1:22">
      <c r="A1055" s="39"/>
      <c r="B1055" s="150" t="s">
        <v>1453</v>
      </c>
      <c r="C1055" s="39" t="s">
        <v>1504</v>
      </c>
      <c r="D1055" s="39" t="s">
        <v>1663</v>
      </c>
      <c r="E1055" s="39" t="s">
        <v>129</v>
      </c>
      <c r="F1055" s="139" t="s">
        <v>2017</v>
      </c>
      <c r="G1055" s="139" t="s">
        <v>2018</v>
      </c>
      <c r="H1055" s="139">
        <v>40</v>
      </c>
      <c r="I1055" s="139" t="s">
        <v>236</v>
      </c>
      <c r="J1055" s="147">
        <v>46140</v>
      </c>
      <c r="K1055" s="139">
        <f>M1055/H1055</f>
        <v>0.425</v>
      </c>
      <c r="L1055" s="142">
        <v>0.01</v>
      </c>
      <c r="M1055" s="139">
        <v>17</v>
      </c>
      <c r="N1055" s="39" t="s">
        <v>519</v>
      </c>
      <c r="O1055" s="139"/>
      <c r="P1055" s="143"/>
      <c r="Q1055" s="39" t="s">
        <v>513</v>
      </c>
      <c r="R1055" s="39"/>
      <c r="S1055" s="39" t="s">
        <v>402</v>
      </c>
      <c r="T1055" s="39">
        <v>26.5</v>
      </c>
      <c r="U1055" s="39"/>
      <c r="V1055" s="39"/>
    </row>
    <row r="1056" spans="1:22">
      <c r="A1056" s="39"/>
      <c r="B1056" s="150" t="s">
        <v>1423</v>
      </c>
      <c r="C1056" s="39" t="s">
        <v>1851</v>
      </c>
      <c r="D1056" s="39" t="s">
        <v>1822</v>
      </c>
      <c r="E1056" s="39" t="s">
        <v>129</v>
      </c>
      <c r="F1056" s="39" t="s">
        <v>2019</v>
      </c>
      <c r="G1056" s="39" t="s">
        <v>2020</v>
      </c>
      <c r="H1056" s="139">
        <v>1</v>
      </c>
      <c r="I1056" s="139" t="s">
        <v>109</v>
      </c>
      <c r="J1056" s="147">
        <v>46139</v>
      </c>
      <c r="K1056" s="139">
        <v>449</v>
      </c>
      <c r="L1056" s="142">
        <v>0.01</v>
      </c>
      <c r="M1056" s="139">
        <f t="shared" si="31"/>
        <v>449</v>
      </c>
      <c r="N1056" s="39" t="s">
        <v>519</v>
      </c>
      <c r="O1056" s="139"/>
      <c r="P1056" s="143"/>
      <c r="Q1056" s="39" t="s">
        <v>513</v>
      </c>
      <c r="R1056" s="39"/>
      <c r="S1056" s="39" t="s">
        <v>402</v>
      </c>
      <c r="T1056" s="39">
        <v>26.5</v>
      </c>
      <c r="U1056" s="39"/>
      <c r="V1056" s="39"/>
    </row>
    <row r="1057" spans="1:22">
      <c r="A1057" s="39"/>
      <c r="B1057" s="150" t="s">
        <v>1423</v>
      </c>
      <c r="C1057" s="39" t="s">
        <v>1851</v>
      </c>
      <c r="D1057" s="39" t="s">
        <v>1822</v>
      </c>
      <c r="E1057" s="39" t="s">
        <v>129</v>
      </c>
      <c r="F1057" s="39" t="s">
        <v>567</v>
      </c>
      <c r="G1057" s="39" t="s">
        <v>2021</v>
      </c>
      <c r="H1057" s="139">
        <v>1</v>
      </c>
      <c r="I1057" s="139" t="s">
        <v>109</v>
      </c>
      <c r="J1057" s="147">
        <v>46139</v>
      </c>
      <c r="K1057" s="139">
        <v>88</v>
      </c>
      <c r="L1057" s="142">
        <v>0.01</v>
      </c>
      <c r="M1057" s="139">
        <f t="shared" si="31"/>
        <v>88</v>
      </c>
      <c r="N1057" s="39" t="s">
        <v>519</v>
      </c>
      <c r="O1057" s="139"/>
      <c r="P1057" s="143"/>
      <c r="Q1057" s="39" t="s">
        <v>513</v>
      </c>
      <c r="R1057" s="39"/>
      <c r="S1057" s="39" t="s">
        <v>402</v>
      </c>
      <c r="T1057" s="39">
        <v>26.5</v>
      </c>
      <c r="U1057" s="39"/>
      <c r="V1057" s="39"/>
    </row>
    <row r="1058" spans="1:22">
      <c r="A1058" s="39"/>
      <c r="B1058" s="150" t="s">
        <v>1423</v>
      </c>
      <c r="C1058" s="39" t="s">
        <v>1851</v>
      </c>
      <c r="D1058" s="39" t="s">
        <v>1822</v>
      </c>
      <c r="E1058" s="39" t="s">
        <v>129</v>
      </c>
      <c r="F1058" s="39" t="s">
        <v>2022</v>
      </c>
      <c r="G1058" s="39" t="s">
        <v>2023</v>
      </c>
      <c r="H1058" s="139">
        <v>100</v>
      </c>
      <c r="I1058" s="139" t="s">
        <v>109</v>
      </c>
      <c r="J1058" s="147">
        <v>46139</v>
      </c>
      <c r="K1058" s="139">
        <v>2.57</v>
      </c>
      <c r="L1058" s="142">
        <v>0.01</v>
      </c>
      <c r="M1058" s="139">
        <f t="shared" si="31"/>
        <v>257</v>
      </c>
      <c r="N1058" s="39" t="s">
        <v>519</v>
      </c>
      <c r="O1058" s="139"/>
      <c r="P1058" s="143"/>
      <c r="Q1058" s="39" t="s">
        <v>513</v>
      </c>
      <c r="R1058" s="39"/>
      <c r="S1058" s="39" t="s">
        <v>402</v>
      </c>
      <c r="T1058" s="39">
        <v>26.5</v>
      </c>
      <c r="U1058" s="39"/>
      <c r="V1058" s="39"/>
    </row>
    <row r="1059" spans="1:22">
      <c r="A1059" s="39"/>
      <c r="B1059" s="150" t="s">
        <v>1423</v>
      </c>
      <c r="C1059" s="39" t="s">
        <v>1851</v>
      </c>
      <c r="D1059" s="39" t="s">
        <v>1822</v>
      </c>
      <c r="E1059" s="39" t="s">
        <v>129</v>
      </c>
      <c r="F1059" s="39" t="s">
        <v>2024</v>
      </c>
      <c r="G1059" s="39" t="s">
        <v>2025</v>
      </c>
      <c r="H1059" s="139">
        <v>2</v>
      </c>
      <c r="I1059" s="139" t="s">
        <v>109</v>
      </c>
      <c r="J1059" s="147">
        <v>46139</v>
      </c>
      <c r="K1059" s="139">
        <v>27.5</v>
      </c>
      <c r="L1059" s="142">
        <v>0.01</v>
      </c>
      <c r="M1059" s="139">
        <f t="shared" si="31"/>
        <v>55</v>
      </c>
      <c r="N1059" s="39" t="s">
        <v>519</v>
      </c>
      <c r="O1059" s="139"/>
      <c r="P1059" s="143"/>
      <c r="Q1059" s="39" t="s">
        <v>513</v>
      </c>
      <c r="R1059" s="39"/>
      <c r="S1059" s="39" t="s">
        <v>402</v>
      </c>
      <c r="T1059" s="39">
        <v>26.5</v>
      </c>
      <c r="U1059" s="39"/>
      <c r="V1059" s="39"/>
    </row>
    <row r="1060" spans="1:22">
      <c r="A1060" s="39"/>
      <c r="B1060" s="150" t="s">
        <v>1423</v>
      </c>
      <c r="C1060" s="39" t="s">
        <v>1851</v>
      </c>
      <c r="D1060" s="39" t="s">
        <v>1822</v>
      </c>
      <c r="E1060" s="39" t="s">
        <v>129</v>
      </c>
      <c r="F1060" s="39" t="s">
        <v>2026</v>
      </c>
      <c r="G1060" s="39" t="s">
        <v>2027</v>
      </c>
      <c r="H1060" s="139">
        <v>8</v>
      </c>
      <c r="I1060" s="139" t="s">
        <v>109</v>
      </c>
      <c r="J1060" s="147">
        <v>46139</v>
      </c>
      <c r="K1060" s="139">
        <v>3</v>
      </c>
      <c r="L1060" s="142">
        <v>0.01</v>
      </c>
      <c r="M1060" s="139">
        <f t="shared" si="31"/>
        <v>24</v>
      </c>
      <c r="N1060" s="39" t="s">
        <v>519</v>
      </c>
      <c r="O1060" s="139"/>
      <c r="P1060" s="143"/>
      <c r="Q1060" s="39" t="s">
        <v>513</v>
      </c>
      <c r="R1060" s="39"/>
      <c r="S1060" s="39" t="s">
        <v>402</v>
      </c>
      <c r="T1060" s="39">
        <v>26.5</v>
      </c>
      <c r="U1060" s="39"/>
      <c r="V1060" s="39"/>
    </row>
    <row r="1061" spans="1:22">
      <c r="A1061" s="39"/>
      <c r="B1061" s="150" t="s">
        <v>1423</v>
      </c>
      <c r="C1061" s="39" t="s">
        <v>1851</v>
      </c>
      <c r="D1061" s="39" t="s">
        <v>1822</v>
      </c>
      <c r="E1061" s="39" t="s">
        <v>129</v>
      </c>
      <c r="F1061" s="39" t="s">
        <v>2028</v>
      </c>
      <c r="G1061" s="39" t="s">
        <v>2029</v>
      </c>
      <c r="H1061" s="139">
        <v>10</v>
      </c>
      <c r="I1061" s="139" t="s">
        <v>109</v>
      </c>
      <c r="J1061" s="147">
        <v>46139</v>
      </c>
      <c r="K1061" s="139">
        <v>11</v>
      </c>
      <c r="L1061" s="142">
        <v>0.01</v>
      </c>
      <c r="M1061" s="139">
        <f t="shared" si="31"/>
        <v>110</v>
      </c>
      <c r="N1061" s="39" t="s">
        <v>519</v>
      </c>
      <c r="O1061" s="139"/>
      <c r="P1061" s="143"/>
      <c r="Q1061" s="39" t="s">
        <v>513</v>
      </c>
      <c r="R1061" s="39"/>
      <c r="S1061" s="39" t="s">
        <v>402</v>
      </c>
      <c r="T1061" s="39">
        <v>26.5</v>
      </c>
      <c r="U1061" s="39"/>
      <c r="V1061" s="39"/>
    </row>
    <row r="1062" spans="1:22">
      <c r="A1062" s="39"/>
      <c r="B1062" s="150" t="s">
        <v>1419</v>
      </c>
      <c r="C1062" s="39" t="s">
        <v>1475</v>
      </c>
      <c r="D1062" s="39" t="s">
        <v>2030</v>
      </c>
      <c r="E1062" s="39" t="s">
        <v>129</v>
      </c>
      <c r="F1062" s="39" t="s">
        <v>2031</v>
      </c>
      <c r="G1062" s="39"/>
      <c r="H1062" s="139">
        <v>1</v>
      </c>
      <c r="I1062" s="139" t="s">
        <v>109</v>
      </c>
      <c r="J1062" s="147">
        <v>46141</v>
      </c>
      <c r="K1062" s="139">
        <v>202</v>
      </c>
      <c r="L1062" s="142">
        <v>0.01</v>
      </c>
      <c r="M1062" s="139">
        <f t="shared" si="31"/>
        <v>202</v>
      </c>
      <c r="N1062" s="39" t="s">
        <v>519</v>
      </c>
      <c r="O1062" s="139"/>
      <c r="P1062" s="143"/>
      <c r="Q1062" s="39" t="s">
        <v>513</v>
      </c>
      <c r="R1062" s="39"/>
      <c r="S1062" s="39" t="s">
        <v>402</v>
      </c>
      <c r="T1062" s="39">
        <v>26.5</v>
      </c>
      <c r="U1062" s="39"/>
      <c r="V1062" s="39"/>
    </row>
    <row r="1063" spans="1:22">
      <c r="A1063" s="39"/>
      <c r="B1063" s="150" t="s">
        <v>1417</v>
      </c>
      <c r="C1063" s="39" t="s">
        <v>1856</v>
      </c>
      <c r="D1063" s="39" t="s">
        <v>1545</v>
      </c>
      <c r="E1063" s="39" t="s">
        <v>129</v>
      </c>
      <c r="F1063" s="39" t="s">
        <v>2032</v>
      </c>
      <c r="G1063" s="39" t="s">
        <v>2033</v>
      </c>
      <c r="H1063" s="139">
        <v>90</v>
      </c>
      <c r="I1063" s="139" t="s">
        <v>109</v>
      </c>
      <c r="J1063" s="147">
        <v>46140</v>
      </c>
      <c r="K1063" s="139">
        <v>1.9</v>
      </c>
      <c r="L1063" s="142">
        <v>0.01</v>
      </c>
      <c r="M1063" s="139">
        <f t="shared" si="31"/>
        <v>171</v>
      </c>
      <c r="N1063" s="39" t="s">
        <v>519</v>
      </c>
      <c r="O1063" s="139"/>
      <c r="P1063" s="143"/>
      <c r="Q1063" s="39" t="s">
        <v>513</v>
      </c>
      <c r="R1063" s="39"/>
      <c r="S1063" s="39" t="s">
        <v>402</v>
      </c>
      <c r="T1063" s="39">
        <v>26.5</v>
      </c>
      <c r="U1063" s="39"/>
      <c r="V1063" s="39"/>
    </row>
    <row r="1064" spans="1:22">
      <c r="A1064" s="39"/>
      <c r="B1064" s="39" t="s">
        <v>1417</v>
      </c>
      <c r="C1064" s="39" t="s">
        <v>1856</v>
      </c>
      <c r="D1064" s="39" t="s">
        <v>1545</v>
      </c>
      <c r="E1064" s="39" t="s">
        <v>129</v>
      </c>
      <c r="F1064" s="39" t="s">
        <v>1847</v>
      </c>
      <c r="G1064" s="39" t="s">
        <v>2034</v>
      </c>
      <c r="H1064" s="139">
        <v>500</v>
      </c>
      <c r="I1064" s="139" t="s">
        <v>109</v>
      </c>
      <c r="J1064" s="147">
        <v>46140</v>
      </c>
      <c r="K1064" s="139">
        <v>0.52</v>
      </c>
      <c r="L1064" s="142">
        <v>0.13</v>
      </c>
      <c r="M1064" s="139">
        <f t="shared" si="31"/>
        <v>260</v>
      </c>
      <c r="N1064" s="139" t="s">
        <v>127</v>
      </c>
      <c r="O1064" s="147">
        <v>46139</v>
      </c>
      <c r="P1064" s="143"/>
      <c r="Q1064" s="39" t="s">
        <v>1500</v>
      </c>
      <c r="R1064" s="39"/>
      <c r="S1064" s="39" t="s">
        <v>1786</v>
      </c>
      <c r="T1064" s="39" t="s">
        <v>1502</v>
      </c>
      <c r="U1064" s="39"/>
      <c r="V1064" s="39"/>
    </row>
    <row r="1065" spans="1:22">
      <c r="A1065" s="39"/>
      <c r="B1065" s="150" t="s">
        <v>1419</v>
      </c>
      <c r="C1065" s="39" t="s">
        <v>1504</v>
      </c>
      <c r="D1065" s="39"/>
      <c r="E1065" s="39" t="s">
        <v>129</v>
      </c>
      <c r="F1065" s="39" t="s">
        <v>2035</v>
      </c>
      <c r="G1065" s="39"/>
      <c r="H1065" s="39">
        <v>1000</v>
      </c>
      <c r="I1065" s="39" t="s">
        <v>159</v>
      </c>
      <c r="J1065" s="147">
        <v>46150</v>
      </c>
      <c r="K1065" s="39">
        <v>0.017</v>
      </c>
      <c r="L1065" s="142">
        <v>0.01</v>
      </c>
      <c r="M1065" s="39">
        <f t="shared" si="31"/>
        <v>17</v>
      </c>
      <c r="N1065" s="39" t="s">
        <v>519</v>
      </c>
      <c r="O1065" s="39"/>
      <c r="P1065" s="39"/>
      <c r="Q1065" s="39" t="s">
        <v>513</v>
      </c>
      <c r="R1065" s="39"/>
      <c r="S1065" s="39" t="s">
        <v>402</v>
      </c>
      <c r="T1065" s="39">
        <v>26.5</v>
      </c>
      <c r="U1065" s="39"/>
      <c r="V1065" s="39"/>
    </row>
    <row r="1066" spans="1:22">
      <c r="A1066" s="39"/>
      <c r="B1066" s="39" t="s">
        <v>1419</v>
      </c>
      <c r="C1066" s="39" t="s">
        <v>1504</v>
      </c>
      <c r="D1066" s="39" t="s">
        <v>2036</v>
      </c>
      <c r="E1066" s="39" t="s">
        <v>129</v>
      </c>
      <c r="F1066" s="39" t="s">
        <v>2037</v>
      </c>
      <c r="G1066" s="39" t="s">
        <v>2038</v>
      </c>
      <c r="H1066" s="39">
        <v>2</v>
      </c>
      <c r="I1066" s="39" t="s">
        <v>252</v>
      </c>
      <c r="J1066" s="147">
        <v>46150</v>
      </c>
      <c r="K1066" s="39">
        <v>60</v>
      </c>
      <c r="L1066" s="142">
        <v>0.13</v>
      </c>
      <c r="M1066" s="39">
        <f t="shared" si="31"/>
        <v>120</v>
      </c>
      <c r="N1066" s="39" t="s">
        <v>300</v>
      </c>
      <c r="O1066" s="147">
        <v>46140</v>
      </c>
      <c r="P1066" s="53" t="s">
        <v>2039</v>
      </c>
      <c r="Q1066" s="39" t="s">
        <v>513</v>
      </c>
      <c r="R1066" s="39"/>
      <c r="S1066" s="39" t="s">
        <v>402</v>
      </c>
      <c r="T1066" s="39">
        <v>26.5</v>
      </c>
      <c r="U1066" s="39"/>
      <c r="V1066" s="39"/>
    </row>
    <row r="1067" spans="1:22">
      <c r="A1067" s="39"/>
      <c r="B1067" s="39" t="s">
        <v>1419</v>
      </c>
      <c r="C1067" s="39" t="s">
        <v>1504</v>
      </c>
      <c r="D1067" s="39" t="s">
        <v>2040</v>
      </c>
      <c r="E1067" s="39" t="s">
        <v>129</v>
      </c>
      <c r="F1067" s="39" t="s">
        <v>298</v>
      </c>
      <c r="G1067" s="39" t="s">
        <v>299</v>
      </c>
      <c r="H1067" s="39">
        <v>5</v>
      </c>
      <c r="I1067" s="39" t="s">
        <v>252</v>
      </c>
      <c r="J1067" s="147">
        <v>46150</v>
      </c>
      <c r="K1067" s="39">
        <v>220</v>
      </c>
      <c r="L1067" s="142">
        <v>0.13</v>
      </c>
      <c r="M1067" s="39">
        <f t="shared" si="31"/>
        <v>1100</v>
      </c>
      <c r="N1067" s="39" t="s">
        <v>300</v>
      </c>
      <c r="O1067" s="147">
        <v>46140</v>
      </c>
      <c r="P1067" s="53" t="s">
        <v>2039</v>
      </c>
      <c r="Q1067" s="39" t="s">
        <v>513</v>
      </c>
      <c r="R1067" s="39"/>
      <c r="S1067" s="39" t="s">
        <v>402</v>
      </c>
      <c r="T1067" s="39">
        <v>26.5</v>
      </c>
      <c r="U1067" s="39"/>
      <c r="V1067" s="39"/>
    </row>
    <row r="1068" spans="1:22">
      <c r="A1068" s="39"/>
      <c r="B1068" s="150" t="s">
        <v>1419</v>
      </c>
      <c r="C1068" s="39" t="s">
        <v>1475</v>
      </c>
      <c r="D1068" s="39" t="s">
        <v>2041</v>
      </c>
      <c r="E1068" s="39" t="s">
        <v>129</v>
      </c>
      <c r="F1068" s="39" t="s">
        <v>2042</v>
      </c>
      <c r="G1068" s="39"/>
      <c r="H1068" s="39">
        <v>10</v>
      </c>
      <c r="I1068" s="39" t="s">
        <v>252</v>
      </c>
      <c r="J1068" s="147">
        <v>46148</v>
      </c>
      <c r="K1068" s="39">
        <v>26</v>
      </c>
      <c r="L1068" s="142">
        <v>0.01</v>
      </c>
      <c r="M1068" s="39">
        <f t="shared" si="31"/>
        <v>260</v>
      </c>
      <c r="N1068" s="39" t="s">
        <v>519</v>
      </c>
      <c r="O1068" s="39"/>
      <c r="P1068" s="39"/>
      <c r="Q1068" s="39" t="s">
        <v>513</v>
      </c>
      <c r="R1068" s="39"/>
      <c r="S1068" s="39" t="s">
        <v>402</v>
      </c>
      <c r="T1068" s="39">
        <v>26.5</v>
      </c>
      <c r="U1068" s="39"/>
      <c r="V1068" s="39"/>
    </row>
    <row r="1069" spans="1:22">
      <c r="A1069" s="39"/>
      <c r="B1069" s="150" t="s">
        <v>2043</v>
      </c>
      <c r="C1069" s="39" t="s">
        <v>1504</v>
      </c>
      <c r="D1069" s="39" t="s">
        <v>2044</v>
      </c>
      <c r="E1069" s="39" t="s">
        <v>129</v>
      </c>
      <c r="F1069" s="39" t="s">
        <v>2045</v>
      </c>
      <c r="G1069" s="39"/>
      <c r="H1069" s="39">
        <v>50</v>
      </c>
      <c r="I1069" s="39" t="s">
        <v>109</v>
      </c>
      <c r="J1069" s="147">
        <v>46148</v>
      </c>
      <c r="K1069" s="39">
        <v>0.1</v>
      </c>
      <c r="L1069" s="142">
        <v>0.01</v>
      </c>
      <c r="M1069" s="39">
        <f t="shared" si="31"/>
        <v>5</v>
      </c>
      <c r="N1069" s="39" t="s">
        <v>519</v>
      </c>
      <c r="O1069" s="39"/>
      <c r="P1069" s="39"/>
      <c r="Q1069" s="39" t="s">
        <v>513</v>
      </c>
      <c r="R1069" s="39"/>
      <c r="S1069" s="39" t="s">
        <v>402</v>
      </c>
      <c r="T1069" s="39">
        <v>26.5</v>
      </c>
      <c r="U1069" s="39"/>
      <c r="V1069" s="39"/>
    </row>
    <row r="1070" spans="1:22">
      <c r="A1070" s="39"/>
      <c r="B1070" s="150" t="s">
        <v>2043</v>
      </c>
      <c r="C1070" s="39" t="s">
        <v>1504</v>
      </c>
      <c r="D1070" s="39" t="s">
        <v>2044</v>
      </c>
      <c r="E1070" s="39" t="s">
        <v>129</v>
      </c>
      <c r="F1070" s="39" t="s">
        <v>2046</v>
      </c>
      <c r="G1070" s="39"/>
      <c r="H1070" s="39">
        <v>50</v>
      </c>
      <c r="I1070" s="39" t="s">
        <v>109</v>
      </c>
      <c r="J1070" s="147">
        <v>46148</v>
      </c>
      <c r="K1070" s="39">
        <v>1.65</v>
      </c>
      <c r="L1070" s="142">
        <v>0.01</v>
      </c>
      <c r="M1070" s="39">
        <f t="shared" si="31"/>
        <v>82.5</v>
      </c>
      <c r="N1070" s="39" t="s">
        <v>519</v>
      </c>
      <c r="O1070" s="39"/>
      <c r="P1070" s="39"/>
      <c r="Q1070" s="39" t="s">
        <v>513</v>
      </c>
      <c r="R1070" s="39"/>
      <c r="S1070" s="39" t="s">
        <v>402</v>
      </c>
      <c r="T1070" s="39">
        <v>26.5</v>
      </c>
      <c r="U1070" s="39"/>
      <c r="V1070" s="39"/>
    </row>
    <row r="1071" spans="1:22">
      <c r="A1071" s="39"/>
      <c r="B1071" s="150" t="s">
        <v>2043</v>
      </c>
      <c r="C1071" s="39" t="s">
        <v>1504</v>
      </c>
      <c r="D1071" s="39" t="s">
        <v>2044</v>
      </c>
      <c r="E1071" s="39" t="s">
        <v>129</v>
      </c>
      <c r="F1071" s="39" t="s">
        <v>2047</v>
      </c>
      <c r="G1071" s="39" t="s">
        <v>2048</v>
      </c>
      <c r="H1071" s="39">
        <v>1</v>
      </c>
      <c r="I1071" s="39" t="s">
        <v>109</v>
      </c>
      <c r="J1071" s="147">
        <v>46149</v>
      </c>
      <c r="K1071" s="39">
        <v>1265</v>
      </c>
      <c r="L1071" s="142">
        <v>0.01</v>
      </c>
      <c r="M1071" s="39">
        <f t="shared" si="31"/>
        <v>1265</v>
      </c>
      <c r="N1071" s="39" t="s">
        <v>519</v>
      </c>
      <c r="O1071" s="39"/>
      <c r="P1071" s="39"/>
      <c r="Q1071" s="39" t="s">
        <v>513</v>
      </c>
      <c r="R1071" s="39"/>
      <c r="S1071" s="39" t="s">
        <v>402</v>
      </c>
      <c r="T1071" s="39">
        <v>26.5</v>
      </c>
      <c r="U1071" s="39"/>
      <c r="V1071" s="39"/>
    </row>
    <row r="1072" spans="1:22">
      <c r="A1072" s="39"/>
      <c r="B1072" s="150" t="s">
        <v>1442</v>
      </c>
      <c r="C1072" s="39" t="s">
        <v>1851</v>
      </c>
      <c r="D1072" s="39" t="s">
        <v>2049</v>
      </c>
      <c r="E1072" s="39" t="s">
        <v>129</v>
      </c>
      <c r="F1072" s="39" t="s">
        <v>680</v>
      </c>
      <c r="G1072" s="39" t="s">
        <v>2050</v>
      </c>
      <c r="H1072" s="39">
        <v>89</v>
      </c>
      <c r="I1072" s="39" t="s">
        <v>109</v>
      </c>
      <c r="J1072" s="147">
        <v>46142</v>
      </c>
      <c r="K1072" s="39">
        <v>6.5</v>
      </c>
      <c r="L1072" s="142">
        <v>0.01</v>
      </c>
      <c r="M1072" s="39">
        <f t="shared" si="31"/>
        <v>578.5</v>
      </c>
      <c r="N1072" s="39" t="s">
        <v>519</v>
      </c>
      <c r="O1072" s="39"/>
      <c r="P1072" s="39"/>
      <c r="Q1072" s="39" t="s">
        <v>513</v>
      </c>
      <c r="R1072" s="39"/>
      <c r="S1072" s="39" t="s">
        <v>402</v>
      </c>
      <c r="T1072" s="39">
        <v>26.5</v>
      </c>
      <c r="U1072" s="39"/>
      <c r="V1072" s="39"/>
    </row>
    <row r="1073" spans="1:22">
      <c r="A1073" s="39"/>
      <c r="B1073" s="150" t="s">
        <v>1417</v>
      </c>
      <c r="C1073" s="39" t="s">
        <v>1856</v>
      </c>
      <c r="D1073" s="39" t="s">
        <v>1545</v>
      </c>
      <c r="E1073" s="39" t="s">
        <v>129</v>
      </c>
      <c r="F1073" s="39" t="s">
        <v>2032</v>
      </c>
      <c r="G1073" s="39" t="s">
        <v>2033</v>
      </c>
      <c r="H1073" s="39">
        <v>90</v>
      </c>
      <c r="I1073" s="39" t="s">
        <v>109</v>
      </c>
      <c r="J1073" s="147">
        <v>46148</v>
      </c>
      <c r="K1073" s="39">
        <v>2.7</v>
      </c>
      <c r="L1073" s="142">
        <v>0.01</v>
      </c>
      <c r="M1073" s="39">
        <f t="shared" si="31"/>
        <v>243</v>
      </c>
      <c r="N1073" s="39" t="s">
        <v>519</v>
      </c>
      <c r="O1073" s="39"/>
      <c r="P1073" s="39"/>
      <c r="Q1073" s="39" t="s">
        <v>513</v>
      </c>
      <c r="R1073" s="39"/>
      <c r="S1073" s="39" t="s">
        <v>402</v>
      </c>
      <c r="T1073" s="39">
        <v>26.5</v>
      </c>
      <c r="U1073" s="39"/>
      <c r="V1073" s="39"/>
    </row>
    <row r="1074" spans="1:22">
      <c r="A1074" s="39"/>
      <c r="B1074" s="150" t="s">
        <v>1417</v>
      </c>
      <c r="C1074" s="39" t="s">
        <v>1856</v>
      </c>
      <c r="D1074" s="39" t="s">
        <v>1545</v>
      </c>
      <c r="E1074" s="39" t="s">
        <v>129</v>
      </c>
      <c r="F1074" s="39" t="s">
        <v>680</v>
      </c>
      <c r="G1074" s="39" t="s">
        <v>2050</v>
      </c>
      <c r="H1074" s="39">
        <v>110</v>
      </c>
      <c r="I1074" s="39" t="s">
        <v>109</v>
      </c>
      <c r="J1074" s="147">
        <v>46148</v>
      </c>
      <c r="K1074" s="39">
        <v>6.5</v>
      </c>
      <c r="L1074" s="142">
        <v>0.01</v>
      </c>
      <c r="M1074" s="39">
        <f t="shared" si="31"/>
        <v>715</v>
      </c>
      <c r="N1074" s="39" t="s">
        <v>519</v>
      </c>
      <c r="O1074" s="39"/>
      <c r="P1074" s="39"/>
      <c r="Q1074" s="39" t="s">
        <v>513</v>
      </c>
      <c r="R1074" s="39"/>
      <c r="S1074" s="39" t="s">
        <v>402</v>
      </c>
      <c r="T1074" s="39">
        <v>26.5</v>
      </c>
      <c r="U1074" s="39"/>
      <c r="V1074" s="39"/>
    </row>
    <row r="1075" spans="1:22">
      <c r="A1075" s="39"/>
      <c r="B1075" s="39" t="s">
        <v>1417</v>
      </c>
      <c r="C1075" s="39" t="s">
        <v>1851</v>
      </c>
      <c r="D1075" s="39" t="s">
        <v>2051</v>
      </c>
      <c r="E1075" s="39" t="s">
        <v>129</v>
      </c>
      <c r="F1075" s="39" t="s">
        <v>1281</v>
      </c>
      <c r="G1075" s="39" t="s">
        <v>2052</v>
      </c>
      <c r="H1075" s="39">
        <v>2</v>
      </c>
      <c r="I1075" s="39"/>
      <c r="J1075" s="147">
        <v>46149</v>
      </c>
      <c r="K1075" s="39">
        <v>36.3</v>
      </c>
      <c r="L1075" s="142">
        <v>0.01</v>
      </c>
      <c r="M1075" s="39">
        <f t="shared" si="31"/>
        <v>72.6</v>
      </c>
      <c r="N1075" s="39" t="s">
        <v>519</v>
      </c>
      <c r="O1075" s="39"/>
      <c r="P1075" s="39"/>
      <c r="Q1075" s="39" t="s">
        <v>513</v>
      </c>
      <c r="R1075" s="39"/>
      <c r="S1075" s="39"/>
      <c r="T1075" s="39"/>
      <c r="U1075" s="39"/>
      <c r="V1075" s="39"/>
    </row>
    <row r="1076" spans="1:22">
      <c r="A1076" s="39"/>
      <c r="B1076" s="39" t="s">
        <v>1453</v>
      </c>
      <c r="C1076" s="39" t="s">
        <v>1654</v>
      </c>
      <c r="D1076" s="39" t="s">
        <v>2053</v>
      </c>
      <c r="E1076" s="39" t="s">
        <v>129</v>
      </c>
      <c r="F1076" s="39" t="s">
        <v>2054</v>
      </c>
      <c r="G1076" s="39" t="s">
        <v>2055</v>
      </c>
      <c r="H1076" s="39">
        <v>1</v>
      </c>
      <c r="I1076" s="39" t="s">
        <v>109</v>
      </c>
      <c r="J1076" s="147">
        <v>46150</v>
      </c>
      <c r="K1076" s="39">
        <v>1730</v>
      </c>
      <c r="L1076" s="142">
        <v>0.01</v>
      </c>
      <c r="M1076" s="39">
        <f t="shared" si="31"/>
        <v>1730</v>
      </c>
      <c r="N1076" s="39" t="s">
        <v>519</v>
      </c>
      <c r="O1076" s="39"/>
      <c r="P1076" s="39"/>
      <c r="Q1076" s="39" t="s">
        <v>513</v>
      </c>
      <c r="R1076" s="39"/>
      <c r="S1076" s="39"/>
      <c r="T1076" s="39"/>
      <c r="U1076" s="39"/>
      <c r="V1076" s="39"/>
    </row>
    <row r="1077" spans="1:22">
      <c r="A1077" s="39"/>
      <c r="B1077" s="39" t="s">
        <v>2043</v>
      </c>
      <c r="C1077" s="39" t="s">
        <v>1504</v>
      </c>
      <c r="D1077" s="39" t="s">
        <v>2044</v>
      </c>
      <c r="E1077" s="39" t="s">
        <v>129</v>
      </c>
      <c r="F1077" s="39" t="s">
        <v>2045</v>
      </c>
      <c r="G1077" s="39"/>
      <c r="H1077" s="39">
        <v>50</v>
      </c>
      <c r="I1077" s="39" t="s">
        <v>109</v>
      </c>
      <c r="J1077" s="147">
        <v>46151</v>
      </c>
      <c r="K1077" s="39">
        <v>0.12</v>
      </c>
      <c r="L1077" s="142">
        <v>0.01</v>
      </c>
      <c r="M1077" s="39">
        <f t="shared" ref="M1077:M1078" si="32">K1077*H1077</f>
        <v>6</v>
      </c>
      <c r="N1077" s="39" t="s">
        <v>519</v>
      </c>
      <c r="O1077" s="39"/>
      <c r="P1077" s="39"/>
      <c r="Q1077" s="39" t="s">
        <v>513</v>
      </c>
      <c r="R1077" s="39"/>
      <c r="S1077" s="39"/>
      <c r="T1077" s="39"/>
      <c r="U1077" s="39"/>
      <c r="V1077" s="39"/>
    </row>
    <row r="1078" spans="1:22">
      <c r="A1078" s="39"/>
      <c r="B1078" s="39" t="s">
        <v>2043</v>
      </c>
      <c r="C1078" s="39" t="s">
        <v>1504</v>
      </c>
      <c r="D1078" s="39" t="s">
        <v>2044</v>
      </c>
      <c r="E1078" s="39" t="s">
        <v>129</v>
      </c>
      <c r="F1078" s="39" t="s">
        <v>2046</v>
      </c>
      <c r="G1078" s="39"/>
      <c r="H1078" s="39">
        <v>50</v>
      </c>
      <c r="I1078" s="39" t="s">
        <v>109</v>
      </c>
      <c r="J1078" s="147">
        <v>46151</v>
      </c>
      <c r="K1078" s="39">
        <v>1.65</v>
      </c>
      <c r="L1078" s="142">
        <v>0.01</v>
      </c>
      <c r="M1078" s="39">
        <f t="shared" si="32"/>
        <v>82.5</v>
      </c>
      <c r="N1078" s="39" t="s">
        <v>519</v>
      </c>
      <c r="O1078" s="39"/>
      <c r="P1078" s="39"/>
      <c r="Q1078" s="39" t="s">
        <v>513</v>
      </c>
      <c r="R1078" s="39"/>
      <c r="S1078" s="39"/>
      <c r="T1078" s="39"/>
      <c r="U1078" s="39"/>
      <c r="V1078" s="39"/>
    </row>
    <row r="1079" spans="1:22">
      <c r="A1079" s="39"/>
      <c r="B1079" s="39" t="s">
        <v>1434</v>
      </c>
      <c r="C1079" s="39" t="s">
        <v>1504</v>
      </c>
      <c r="D1079" s="39" t="s">
        <v>2056</v>
      </c>
      <c r="E1079" s="39" t="s">
        <v>129</v>
      </c>
      <c r="F1079" s="39" t="s">
        <v>2057</v>
      </c>
      <c r="G1079" s="39" t="s">
        <v>1206</v>
      </c>
      <c r="H1079" s="39">
        <v>20</v>
      </c>
      <c r="I1079" s="39" t="s">
        <v>570</v>
      </c>
      <c r="J1079" s="147">
        <v>46151</v>
      </c>
      <c r="K1079" s="39">
        <v>25.3</v>
      </c>
      <c r="L1079" s="142">
        <v>0.01</v>
      </c>
      <c r="M1079" s="39">
        <f t="shared" si="31"/>
        <v>506</v>
      </c>
      <c r="N1079" s="39" t="s">
        <v>519</v>
      </c>
      <c r="O1079" s="39"/>
      <c r="P1079" s="39"/>
      <c r="Q1079" s="39" t="s">
        <v>513</v>
      </c>
      <c r="R1079" s="39"/>
      <c r="S1079" s="39"/>
      <c r="T1079" s="39"/>
      <c r="U1079" s="39"/>
      <c r="V1079" s="39"/>
    </row>
    <row r="1080" spans="1:22">
      <c r="A1080" s="39"/>
      <c r="B1080" s="39" t="s">
        <v>1434</v>
      </c>
      <c r="C1080" s="39" t="s">
        <v>1504</v>
      </c>
      <c r="D1080" s="39" t="s">
        <v>2056</v>
      </c>
      <c r="E1080" s="39" t="s">
        <v>129</v>
      </c>
      <c r="F1080" s="39" t="s">
        <v>2058</v>
      </c>
      <c r="G1080" s="39" t="s">
        <v>2059</v>
      </c>
      <c r="H1080" s="39">
        <v>90</v>
      </c>
      <c r="I1080" s="39" t="s">
        <v>536</v>
      </c>
      <c r="J1080" s="147">
        <v>46151</v>
      </c>
      <c r="K1080" s="39">
        <f>M1080/H1080</f>
        <v>1.37777777777778</v>
      </c>
      <c r="L1080" s="142">
        <v>0.01</v>
      </c>
      <c r="M1080" s="39">
        <v>124</v>
      </c>
      <c r="N1080" s="39" t="s">
        <v>519</v>
      </c>
      <c r="O1080" s="39"/>
      <c r="P1080" s="39"/>
      <c r="Q1080" s="39" t="s">
        <v>513</v>
      </c>
      <c r="R1080" s="39"/>
      <c r="S1080" s="39"/>
      <c r="T1080" s="39"/>
      <c r="U1080" s="39"/>
      <c r="V1080" s="39"/>
    </row>
    <row r="1081" spans="1:22">
      <c r="A1081" s="39"/>
      <c r="B1081" s="39" t="s">
        <v>1434</v>
      </c>
      <c r="C1081" s="39" t="s">
        <v>1504</v>
      </c>
      <c r="D1081" s="39" t="s">
        <v>2056</v>
      </c>
      <c r="E1081" s="39" t="s">
        <v>129</v>
      </c>
      <c r="F1081" s="39" t="s">
        <v>2060</v>
      </c>
      <c r="G1081" s="39" t="s">
        <v>2061</v>
      </c>
      <c r="H1081" s="39">
        <v>5</v>
      </c>
      <c r="I1081" s="39" t="s">
        <v>533</v>
      </c>
      <c r="J1081" s="147">
        <v>46151</v>
      </c>
      <c r="K1081" s="39">
        <v>16</v>
      </c>
      <c r="L1081" s="142">
        <v>0.01</v>
      </c>
      <c r="M1081" s="39">
        <f t="shared" si="31"/>
        <v>80</v>
      </c>
      <c r="N1081" s="39" t="s">
        <v>519</v>
      </c>
      <c r="O1081" s="39"/>
      <c r="P1081" s="39"/>
      <c r="Q1081" s="39" t="s">
        <v>513</v>
      </c>
      <c r="R1081" s="39"/>
      <c r="S1081" s="39"/>
      <c r="T1081" s="39"/>
      <c r="U1081" s="39"/>
      <c r="V1081" s="39"/>
    </row>
    <row r="1082" spans="1:22">
      <c r="A1082" s="39"/>
      <c r="B1082" s="39" t="s">
        <v>1434</v>
      </c>
      <c r="C1082" s="39" t="s">
        <v>1504</v>
      </c>
      <c r="D1082" s="39" t="s">
        <v>2056</v>
      </c>
      <c r="E1082" s="39" t="s">
        <v>129</v>
      </c>
      <c r="F1082" s="39" t="s">
        <v>2062</v>
      </c>
      <c r="G1082" s="39" t="s">
        <v>2063</v>
      </c>
      <c r="H1082" s="39">
        <v>2</v>
      </c>
      <c r="I1082" s="39" t="s">
        <v>109</v>
      </c>
      <c r="J1082" s="147">
        <v>46151</v>
      </c>
      <c r="K1082" s="39">
        <v>38.5</v>
      </c>
      <c r="L1082" s="142">
        <v>0.01</v>
      </c>
      <c r="M1082" s="39">
        <f t="shared" si="31"/>
        <v>77</v>
      </c>
      <c r="N1082" s="39" t="s">
        <v>519</v>
      </c>
      <c r="O1082" s="39"/>
      <c r="P1082" s="39"/>
      <c r="Q1082" s="39" t="s">
        <v>513</v>
      </c>
      <c r="R1082" s="39"/>
      <c r="S1082" s="39"/>
      <c r="T1082" s="39"/>
      <c r="U1082" s="39"/>
      <c r="V1082" s="39"/>
    </row>
    <row r="1083" ht="15.4" customHeight="1" spans="1:22">
      <c r="A1083" s="39"/>
      <c r="B1083" s="39" t="s">
        <v>1434</v>
      </c>
      <c r="C1083" s="39" t="s">
        <v>1504</v>
      </c>
      <c r="D1083" s="39" t="s">
        <v>2056</v>
      </c>
      <c r="E1083" s="39" t="s">
        <v>129</v>
      </c>
      <c r="F1083" s="39" t="s">
        <v>2064</v>
      </c>
      <c r="G1083" s="39" t="s">
        <v>2065</v>
      </c>
      <c r="H1083" s="39">
        <v>2</v>
      </c>
      <c r="I1083" s="39" t="s">
        <v>109</v>
      </c>
      <c r="J1083" s="147">
        <v>46151</v>
      </c>
      <c r="K1083" s="39">
        <v>30</v>
      </c>
      <c r="L1083" s="142">
        <v>0.01</v>
      </c>
      <c r="M1083" s="39">
        <f t="shared" si="31"/>
        <v>60</v>
      </c>
      <c r="N1083" s="39" t="s">
        <v>519</v>
      </c>
      <c r="O1083" s="39"/>
      <c r="P1083" s="39"/>
      <c r="Q1083" s="39" t="s">
        <v>513</v>
      </c>
      <c r="R1083" s="39"/>
      <c r="S1083" s="39"/>
      <c r="T1083" s="39"/>
      <c r="U1083" s="39"/>
      <c r="V1083" s="39"/>
    </row>
    <row r="1084" spans="1:22">
      <c r="A1084" s="39"/>
      <c r="B1084" s="39" t="s">
        <v>1434</v>
      </c>
      <c r="C1084" s="39" t="s">
        <v>1504</v>
      </c>
      <c r="D1084" s="39" t="s">
        <v>2056</v>
      </c>
      <c r="E1084" s="39" t="s">
        <v>129</v>
      </c>
      <c r="F1084" s="39" t="s">
        <v>2066</v>
      </c>
      <c r="G1084" s="39" t="s">
        <v>2067</v>
      </c>
      <c r="H1084" s="39">
        <v>1</v>
      </c>
      <c r="I1084" s="39" t="s">
        <v>109</v>
      </c>
      <c r="J1084" s="147">
        <v>46151</v>
      </c>
      <c r="K1084" s="39">
        <v>328</v>
      </c>
      <c r="L1084" s="142">
        <v>0.01</v>
      </c>
      <c r="M1084" s="39">
        <f t="shared" si="31"/>
        <v>328</v>
      </c>
      <c r="N1084" s="39" t="s">
        <v>519</v>
      </c>
      <c r="O1084" s="39"/>
      <c r="P1084" s="39"/>
      <c r="Q1084" s="39" t="s">
        <v>513</v>
      </c>
      <c r="R1084" s="39"/>
      <c r="S1084" s="39"/>
      <c r="T1084" s="39"/>
      <c r="U1084" s="39"/>
      <c r="V1084" s="39"/>
    </row>
    <row r="1085" spans="1:22">
      <c r="A1085" s="39"/>
      <c r="B1085" s="39" t="s">
        <v>1434</v>
      </c>
      <c r="C1085" s="39" t="s">
        <v>1504</v>
      </c>
      <c r="D1085" s="39" t="s">
        <v>2056</v>
      </c>
      <c r="E1085" s="39" t="s">
        <v>129</v>
      </c>
      <c r="F1085" s="39" t="s">
        <v>2068</v>
      </c>
      <c r="G1085" s="39" t="s">
        <v>2069</v>
      </c>
      <c r="H1085" s="39">
        <v>5</v>
      </c>
      <c r="I1085" s="39"/>
      <c r="J1085" s="147">
        <v>46151</v>
      </c>
      <c r="K1085" s="39">
        <v>11</v>
      </c>
      <c r="L1085" s="142">
        <v>0.01</v>
      </c>
      <c r="M1085" s="39">
        <f t="shared" si="31"/>
        <v>55</v>
      </c>
      <c r="N1085" s="39" t="s">
        <v>519</v>
      </c>
      <c r="O1085" s="39"/>
      <c r="P1085" s="39"/>
      <c r="Q1085" s="39" t="s">
        <v>513</v>
      </c>
      <c r="R1085" s="39"/>
      <c r="S1085" s="39"/>
      <c r="T1085" s="39"/>
      <c r="U1085" s="39"/>
      <c r="V1085" s="39"/>
    </row>
    <row r="1086" spans="1:22">
      <c r="A1086" s="39"/>
      <c r="B1086" s="39" t="s">
        <v>2043</v>
      </c>
      <c r="C1086" s="39" t="s">
        <v>2070</v>
      </c>
      <c r="D1086" s="39" t="s">
        <v>2071</v>
      </c>
      <c r="E1086" s="39" t="s">
        <v>129</v>
      </c>
      <c r="F1086" s="139" t="s">
        <v>2072</v>
      </c>
      <c r="G1086" s="39" t="s">
        <v>387</v>
      </c>
      <c r="H1086" s="139">
        <v>204</v>
      </c>
      <c r="I1086" s="139" t="s">
        <v>131</v>
      </c>
      <c r="J1086" s="147">
        <v>46150</v>
      </c>
      <c r="K1086" s="139">
        <v>14</v>
      </c>
      <c r="L1086" s="142">
        <v>0.13</v>
      </c>
      <c r="M1086" s="139">
        <f t="shared" si="31"/>
        <v>2856</v>
      </c>
      <c r="N1086" s="139" t="s">
        <v>388</v>
      </c>
      <c r="O1086" s="45">
        <v>46149</v>
      </c>
      <c r="P1086" s="143" t="s">
        <v>2073</v>
      </c>
      <c r="Q1086" s="39" t="s">
        <v>513</v>
      </c>
      <c r="R1086" s="39"/>
      <c r="S1086" s="39"/>
      <c r="T1086" s="39"/>
      <c r="U1086" s="39"/>
      <c r="V1086" s="39"/>
    </row>
    <row r="1087" spans="1:22">
      <c r="A1087" s="39"/>
      <c r="B1087" s="39" t="s">
        <v>1421</v>
      </c>
      <c r="C1087" s="39" t="s">
        <v>1504</v>
      </c>
      <c r="D1087" s="39" t="s">
        <v>2074</v>
      </c>
      <c r="E1087" s="39" t="s">
        <v>129</v>
      </c>
      <c r="F1087" s="139" t="s">
        <v>2075</v>
      </c>
      <c r="G1087" s="39" t="s">
        <v>2076</v>
      </c>
      <c r="H1087" s="139">
        <v>3</v>
      </c>
      <c r="I1087" s="139" t="s">
        <v>316</v>
      </c>
      <c r="J1087" s="147">
        <v>46142</v>
      </c>
      <c r="K1087" s="139">
        <v>10.5</v>
      </c>
      <c r="L1087" s="142">
        <v>0.01</v>
      </c>
      <c r="M1087" s="139">
        <f t="shared" si="31"/>
        <v>31.5</v>
      </c>
      <c r="N1087" s="39" t="s">
        <v>519</v>
      </c>
      <c r="O1087" s="139"/>
      <c r="P1087" s="143"/>
      <c r="Q1087" s="39" t="s">
        <v>513</v>
      </c>
      <c r="R1087" s="39"/>
      <c r="S1087" s="39"/>
      <c r="T1087" s="39"/>
      <c r="U1087" s="39"/>
      <c r="V1087" s="39"/>
    </row>
    <row r="1088" spans="1:22">
      <c r="A1088" s="39"/>
      <c r="B1088" s="39" t="s">
        <v>1421</v>
      </c>
      <c r="C1088" s="39" t="s">
        <v>1504</v>
      </c>
      <c r="D1088" s="39" t="s">
        <v>2074</v>
      </c>
      <c r="E1088" s="39" t="s">
        <v>129</v>
      </c>
      <c r="F1088" s="139" t="s">
        <v>2075</v>
      </c>
      <c r="G1088" s="39" t="s">
        <v>2077</v>
      </c>
      <c r="H1088" s="139">
        <v>3</v>
      </c>
      <c r="I1088" s="139" t="s">
        <v>316</v>
      </c>
      <c r="J1088" s="147">
        <v>46142</v>
      </c>
      <c r="K1088" s="139">
        <v>31</v>
      </c>
      <c r="L1088" s="142">
        <v>0.01</v>
      </c>
      <c r="M1088" s="139">
        <f t="shared" si="31"/>
        <v>93</v>
      </c>
      <c r="N1088" s="39" t="s">
        <v>519</v>
      </c>
      <c r="O1088" s="139"/>
      <c r="P1088" s="143"/>
      <c r="Q1088" s="39" t="s">
        <v>513</v>
      </c>
      <c r="R1088" s="39"/>
      <c r="S1088" s="39"/>
      <c r="T1088" s="39"/>
      <c r="U1088" s="39"/>
      <c r="V1088" s="39"/>
    </row>
    <row r="1089" spans="1:22">
      <c r="A1089" s="39"/>
      <c r="B1089" s="39" t="s">
        <v>1421</v>
      </c>
      <c r="C1089" s="39" t="s">
        <v>1504</v>
      </c>
      <c r="D1089" s="39" t="s">
        <v>2074</v>
      </c>
      <c r="E1089" s="39" t="s">
        <v>129</v>
      </c>
      <c r="F1089" s="139" t="s">
        <v>2075</v>
      </c>
      <c r="G1089" s="39" t="s">
        <v>2078</v>
      </c>
      <c r="H1089" s="139">
        <v>3</v>
      </c>
      <c r="I1089" s="139" t="s">
        <v>316</v>
      </c>
      <c r="J1089" s="147">
        <v>46142</v>
      </c>
      <c r="K1089" s="139">
        <v>37</v>
      </c>
      <c r="L1089" s="142">
        <v>0.01</v>
      </c>
      <c r="M1089" s="139">
        <f t="shared" si="31"/>
        <v>111</v>
      </c>
      <c r="N1089" s="39" t="s">
        <v>519</v>
      </c>
      <c r="O1089" s="139"/>
      <c r="P1089" s="143"/>
      <c r="Q1089" s="39" t="s">
        <v>513</v>
      </c>
      <c r="R1089" s="39"/>
      <c r="S1089" s="39"/>
      <c r="T1089" s="39"/>
      <c r="U1089" s="39"/>
      <c r="V1089" s="39"/>
    </row>
    <row r="1090" spans="1:22">
      <c r="A1090" s="39"/>
      <c r="B1090" s="39" t="s">
        <v>1421</v>
      </c>
      <c r="C1090" s="39" t="s">
        <v>1504</v>
      </c>
      <c r="D1090" s="39" t="s">
        <v>2074</v>
      </c>
      <c r="E1090" s="39" t="s">
        <v>129</v>
      </c>
      <c r="F1090" s="139" t="s">
        <v>2075</v>
      </c>
      <c r="G1090" s="39" t="s">
        <v>2079</v>
      </c>
      <c r="H1090" s="139">
        <v>3</v>
      </c>
      <c r="I1090" s="139" t="s">
        <v>316</v>
      </c>
      <c r="J1090" s="147">
        <v>46142</v>
      </c>
      <c r="K1090" s="139">
        <v>46.5</v>
      </c>
      <c r="L1090" s="142">
        <v>0.01</v>
      </c>
      <c r="M1090" s="139">
        <f t="shared" si="31"/>
        <v>139.5</v>
      </c>
      <c r="N1090" s="39" t="s">
        <v>519</v>
      </c>
      <c r="O1090" s="139"/>
      <c r="P1090" s="143"/>
      <c r="Q1090" s="39" t="s">
        <v>513</v>
      </c>
      <c r="R1090" s="39"/>
      <c r="S1090" s="39"/>
      <c r="T1090" s="39"/>
      <c r="U1090" s="39"/>
      <c r="V1090" s="39"/>
    </row>
    <row r="1091" spans="1:22">
      <c r="A1091" s="39"/>
      <c r="B1091" s="39" t="s">
        <v>1421</v>
      </c>
      <c r="C1091" s="39" t="s">
        <v>1504</v>
      </c>
      <c r="D1091" s="39" t="s">
        <v>2074</v>
      </c>
      <c r="E1091" s="39" t="s">
        <v>129</v>
      </c>
      <c r="F1091" s="139" t="s">
        <v>2080</v>
      </c>
      <c r="G1091" s="39" t="s">
        <v>2081</v>
      </c>
      <c r="H1091" s="139">
        <v>3</v>
      </c>
      <c r="I1091" s="139" t="s">
        <v>316</v>
      </c>
      <c r="J1091" s="147">
        <v>46142</v>
      </c>
      <c r="K1091" s="139">
        <v>8</v>
      </c>
      <c r="L1091" s="142">
        <v>0.01</v>
      </c>
      <c r="M1091" s="139">
        <f t="shared" si="31"/>
        <v>24</v>
      </c>
      <c r="N1091" s="39" t="s">
        <v>519</v>
      </c>
      <c r="O1091" s="139"/>
      <c r="P1091" s="143"/>
      <c r="Q1091" s="39" t="s">
        <v>513</v>
      </c>
      <c r="R1091" s="39"/>
      <c r="S1091" s="39"/>
      <c r="T1091" s="39"/>
      <c r="U1091" s="39"/>
      <c r="V1091" s="39"/>
    </row>
    <row r="1092" spans="1:22">
      <c r="A1092" s="39"/>
      <c r="B1092" s="39" t="s">
        <v>507</v>
      </c>
      <c r="C1092" s="39" t="s">
        <v>1851</v>
      </c>
      <c r="D1092" s="39" t="s">
        <v>2082</v>
      </c>
      <c r="E1092" s="39" t="s">
        <v>129</v>
      </c>
      <c r="F1092" s="139" t="s">
        <v>2083</v>
      </c>
      <c r="G1092" s="39" t="s">
        <v>2084</v>
      </c>
      <c r="H1092" s="139">
        <v>1</v>
      </c>
      <c r="I1092" s="139" t="s">
        <v>62</v>
      </c>
      <c r="J1092" s="147">
        <v>46153</v>
      </c>
      <c r="K1092" s="139">
        <v>120</v>
      </c>
      <c r="L1092" s="142">
        <v>0.01</v>
      </c>
      <c r="M1092" s="139">
        <f t="shared" si="31"/>
        <v>120</v>
      </c>
      <c r="N1092" s="39" t="s">
        <v>519</v>
      </c>
      <c r="O1092" s="139"/>
      <c r="P1092" s="143"/>
      <c r="Q1092" s="39" t="s">
        <v>513</v>
      </c>
      <c r="R1092" s="39"/>
      <c r="S1092" s="39"/>
      <c r="T1092" s="39"/>
      <c r="U1092" s="39"/>
      <c r="V1092" s="39"/>
    </row>
    <row r="1093" spans="1:22">
      <c r="A1093" s="39"/>
      <c r="B1093" s="39" t="s">
        <v>1421</v>
      </c>
      <c r="C1093" s="39" t="s">
        <v>2085</v>
      </c>
      <c r="D1093" s="39" t="s">
        <v>1981</v>
      </c>
      <c r="E1093" s="39" t="s">
        <v>129</v>
      </c>
      <c r="F1093" s="139" t="s">
        <v>2086</v>
      </c>
      <c r="G1093" s="39" t="s">
        <v>2087</v>
      </c>
      <c r="H1093" s="139">
        <v>7</v>
      </c>
      <c r="I1093" s="39" t="s">
        <v>109</v>
      </c>
      <c r="J1093" s="147">
        <v>46151</v>
      </c>
      <c r="K1093" s="139">
        <v>37</v>
      </c>
      <c r="L1093" s="142">
        <v>0.01</v>
      </c>
      <c r="M1093" s="139">
        <f t="shared" si="31"/>
        <v>259</v>
      </c>
      <c r="N1093" s="39" t="s">
        <v>519</v>
      </c>
      <c r="O1093" s="139"/>
      <c r="P1093" s="143"/>
      <c r="Q1093" s="39" t="s">
        <v>513</v>
      </c>
      <c r="R1093" s="39"/>
      <c r="S1093" s="39"/>
      <c r="T1093" s="39"/>
      <c r="U1093" s="39"/>
      <c r="V1093" s="39"/>
    </row>
    <row r="1094" spans="1:22">
      <c r="A1094" s="39"/>
      <c r="B1094" s="39" t="s">
        <v>1442</v>
      </c>
      <c r="C1094" s="39" t="s">
        <v>1851</v>
      </c>
      <c r="D1094" s="39" t="s">
        <v>2005</v>
      </c>
      <c r="E1094" s="39" t="s">
        <v>129</v>
      </c>
      <c r="F1094" s="139" t="s">
        <v>2088</v>
      </c>
      <c r="G1094" s="39" t="s">
        <v>2089</v>
      </c>
      <c r="H1094" s="139">
        <v>3</v>
      </c>
      <c r="I1094" s="39" t="s">
        <v>109</v>
      </c>
      <c r="J1094" s="147">
        <v>46154</v>
      </c>
      <c r="K1094" s="139">
        <v>37.5</v>
      </c>
      <c r="L1094" s="142">
        <v>0.01</v>
      </c>
      <c r="M1094" s="139">
        <f t="shared" si="31"/>
        <v>112.5</v>
      </c>
      <c r="N1094" s="39" t="s">
        <v>519</v>
      </c>
      <c r="O1094" s="139"/>
      <c r="P1094" s="143"/>
      <c r="Q1094" s="39" t="s">
        <v>513</v>
      </c>
      <c r="R1094" s="39"/>
      <c r="S1094" s="39"/>
      <c r="T1094" s="39"/>
      <c r="U1094" s="39"/>
      <c r="V1094" s="39"/>
    </row>
    <row r="1095" spans="1:22">
      <c r="A1095" s="39"/>
      <c r="B1095" s="39" t="s">
        <v>1465</v>
      </c>
      <c r="C1095" s="39" t="s">
        <v>1856</v>
      </c>
      <c r="D1095" s="39" t="s">
        <v>2090</v>
      </c>
      <c r="E1095" s="39" t="s">
        <v>129</v>
      </c>
      <c r="F1095" s="139" t="s">
        <v>1904</v>
      </c>
      <c r="G1095" s="39" t="s">
        <v>2091</v>
      </c>
      <c r="H1095" s="139">
        <v>385</v>
      </c>
      <c r="I1095" s="39" t="s">
        <v>109</v>
      </c>
      <c r="J1095" s="147">
        <v>46151</v>
      </c>
      <c r="K1095" s="139">
        <v>0.75</v>
      </c>
      <c r="L1095" s="142">
        <v>0.13</v>
      </c>
      <c r="M1095" s="139">
        <f t="shared" si="31"/>
        <v>288.75</v>
      </c>
      <c r="N1095" s="139" t="s">
        <v>1795</v>
      </c>
      <c r="O1095" s="139"/>
      <c r="P1095" s="143"/>
      <c r="Q1095" s="39" t="s">
        <v>513</v>
      </c>
      <c r="R1095" s="39"/>
      <c r="S1095" s="39"/>
      <c r="T1095" s="39"/>
      <c r="U1095" s="39"/>
      <c r="V1095" s="39"/>
    </row>
    <row r="1096" spans="1:22">
      <c r="A1096" s="39"/>
      <c r="B1096" s="39" t="s">
        <v>1465</v>
      </c>
      <c r="C1096" s="39" t="s">
        <v>1856</v>
      </c>
      <c r="D1096" s="39" t="s">
        <v>2090</v>
      </c>
      <c r="E1096" s="39" t="s">
        <v>129</v>
      </c>
      <c r="F1096" s="139" t="s">
        <v>2092</v>
      </c>
      <c r="G1096" s="39" t="s">
        <v>2091</v>
      </c>
      <c r="H1096" s="139">
        <v>385</v>
      </c>
      <c r="I1096" s="39" t="s">
        <v>109</v>
      </c>
      <c r="J1096" s="147">
        <v>46151</v>
      </c>
      <c r="K1096" s="139">
        <v>0.5</v>
      </c>
      <c r="L1096" s="142">
        <v>0.13</v>
      </c>
      <c r="M1096" s="139">
        <f t="shared" si="31"/>
        <v>192.5</v>
      </c>
      <c r="N1096" s="139" t="s">
        <v>1795</v>
      </c>
      <c r="O1096" s="139"/>
      <c r="P1096" s="143"/>
      <c r="Q1096" s="39" t="s">
        <v>513</v>
      </c>
      <c r="R1096" s="39"/>
      <c r="S1096" s="39"/>
      <c r="T1096" s="39"/>
      <c r="U1096" s="39"/>
      <c r="V1096" s="39"/>
    </row>
    <row r="1097" spans="1:22">
      <c r="A1097" s="39"/>
      <c r="B1097" s="39" t="s">
        <v>1465</v>
      </c>
      <c r="C1097" s="39" t="s">
        <v>1856</v>
      </c>
      <c r="D1097" s="39" t="s">
        <v>2090</v>
      </c>
      <c r="E1097" s="39" t="s">
        <v>129</v>
      </c>
      <c r="F1097" s="139" t="s">
        <v>2093</v>
      </c>
      <c r="G1097" s="39" t="s">
        <v>2091</v>
      </c>
      <c r="H1097" s="139">
        <v>385</v>
      </c>
      <c r="I1097" s="39" t="s">
        <v>109</v>
      </c>
      <c r="J1097" s="147">
        <v>46151</v>
      </c>
      <c r="K1097" s="139">
        <v>0.5</v>
      </c>
      <c r="L1097" s="142">
        <v>0.13</v>
      </c>
      <c r="M1097" s="139">
        <f t="shared" si="31"/>
        <v>192.5</v>
      </c>
      <c r="N1097" s="139" t="s">
        <v>1795</v>
      </c>
      <c r="O1097" s="139"/>
      <c r="P1097" s="143"/>
      <c r="Q1097" s="39" t="s">
        <v>513</v>
      </c>
      <c r="R1097" s="39"/>
      <c r="S1097" s="39"/>
      <c r="T1097" s="39"/>
      <c r="U1097" s="39"/>
      <c r="V1097" s="39"/>
    </row>
    <row r="1098" spans="1:22">
      <c r="A1098" s="39"/>
      <c r="B1098" s="39" t="s">
        <v>1465</v>
      </c>
      <c r="C1098" s="39" t="s">
        <v>1856</v>
      </c>
      <c r="D1098" s="39" t="s">
        <v>2090</v>
      </c>
      <c r="E1098" s="39" t="s">
        <v>129</v>
      </c>
      <c r="F1098" s="139" t="s">
        <v>2094</v>
      </c>
      <c r="G1098" s="139" t="s">
        <v>2095</v>
      </c>
      <c r="H1098" s="139">
        <v>2700</v>
      </c>
      <c r="I1098" s="39" t="s">
        <v>109</v>
      </c>
      <c r="J1098" s="147">
        <v>46151</v>
      </c>
      <c r="K1098" s="139">
        <v>0.17</v>
      </c>
      <c r="L1098" s="142">
        <v>0.13</v>
      </c>
      <c r="M1098" s="139">
        <f t="shared" si="31"/>
        <v>459</v>
      </c>
      <c r="N1098" s="139" t="s">
        <v>2096</v>
      </c>
      <c r="O1098" s="139"/>
      <c r="P1098" s="143"/>
      <c r="Q1098" s="39" t="s">
        <v>513</v>
      </c>
      <c r="R1098" s="39"/>
      <c r="S1098" s="39"/>
      <c r="T1098" s="39"/>
      <c r="U1098" s="39"/>
      <c r="V1098" s="39"/>
    </row>
    <row r="1099" spans="1:22">
      <c r="A1099" s="39"/>
      <c r="B1099" s="39" t="s">
        <v>1465</v>
      </c>
      <c r="C1099" s="39" t="s">
        <v>1856</v>
      </c>
      <c r="D1099" s="39" t="s">
        <v>2097</v>
      </c>
      <c r="E1099" s="39" t="s">
        <v>129</v>
      </c>
      <c r="F1099" s="139" t="s">
        <v>2098</v>
      </c>
      <c r="G1099" s="139" t="s">
        <v>2099</v>
      </c>
      <c r="H1099" s="139">
        <v>1070</v>
      </c>
      <c r="I1099" s="39" t="s">
        <v>109</v>
      </c>
      <c r="J1099" s="147">
        <v>46151</v>
      </c>
      <c r="K1099" s="139"/>
      <c r="L1099" s="142">
        <v>0.01</v>
      </c>
      <c r="M1099" s="139">
        <f t="shared" ref="M1099:M1162" si="33">K1099*H1099</f>
        <v>0</v>
      </c>
      <c r="N1099" s="39" t="s">
        <v>519</v>
      </c>
      <c r="O1099" s="139"/>
      <c r="P1099" s="143"/>
      <c r="Q1099" s="39" t="s">
        <v>513</v>
      </c>
      <c r="R1099" s="39"/>
      <c r="S1099" s="39"/>
      <c r="T1099" s="39"/>
      <c r="U1099" s="39"/>
      <c r="V1099" s="39"/>
    </row>
    <row r="1100" spans="1:22">
      <c r="A1100" s="39"/>
      <c r="B1100" s="39" t="s">
        <v>1465</v>
      </c>
      <c r="C1100" s="39" t="s">
        <v>1856</v>
      </c>
      <c r="D1100" s="39" t="s">
        <v>2100</v>
      </c>
      <c r="E1100" s="39" t="s">
        <v>129</v>
      </c>
      <c r="F1100" s="139" t="s">
        <v>1918</v>
      </c>
      <c r="G1100" s="39" t="s">
        <v>1919</v>
      </c>
      <c r="H1100" s="139">
        <v>350</v>
      </c>
      <c r="I1100" s="39" t="s">
        <v>109</v>
      </c>
      <c r="J1100" s="147">
        <v>46157</v>
      </c>
      <c r="K1100" s="139">
        <v>4.42</v>
      </c>
      <c r="L1100" s="142">
        <v>0.13</v>
      </c>
      <c r="M1100" s="139">
        <f t="shared" si="33"/>
        <v>1547</v>
      </c>
      <c r="N1100" s="139" t="s">
        <v>1920</v>
      </c>
      <c r="O1100" s="139"/>
      <c r="P1100" s="143"/>
      <c r="Q1100" s="39" t="s">
        <v>513</v>
      </c>
      <c r="R1100" s="39"/>
      <c r="S1100" s="39"/>
      <c r="T1100" s="39"/>
      <c r="U1100" s="39"/>
      <c r="V1100" s="39"/>
    </row>
    <row r="1101" spans="1:22">
      <c r="A1101" s="39"/>
      <c r="B1101" s="39" t="s">
        <v>1465</v>
      </c>
      <c r="C1101" s="39" t="s">
        <v>1856</v>
      </c>
      <c r="D1101" s="39" t="s">
        <v>2100</v>
      </c>
      <c r="E1101" s="39" t="s">
        <v>129</v>
      </c>
      <c r="F1101" s="139" t="s">
        <v>1922</v>
      </c>
      <c r="G1101" s="39" t="s">
        <v>1923</v>
      </c>
      <c r="H1101" s="139">
        <v>350</v>
      </c>
      <c r="I1101" s="39" t="s">
        <v>109</v>
      </c>
      <c r="J1101" s="147">
        <v>46157</v>
      </c>
      <c r="K1101" s="139">
        <v>4.42</v>
      </c>
      <c r="L1101" s="142">
        <v>0.13</v>
      </c>
      <c r="M1101" s="139">
        <f t="shared" si="33"/>
        <v>1547</v>
      </c>
      <c r="N1101" s="139" t="s">
        <v>1920</v>
      </c>
      <c r="O1101" s="139"/>
      <c r="P1101" s="143"/>
      <c r="Q1101" s="39" t="s">
        <v>513</v>
      </c>
      <c r="R1101" s="39"/>
      <c r="S1101" s="39"/>
      <c r="T1101" s="39"/>
      <c r="U1101" s="39"/>
      <c r="V1101" s="39"/>
    </row>
    <row r="1102" spans="1:22">
      <c r="A1102" s="39"/>
      <c r="B1102" s="39" t="s">
        <v>1465</v>
      </c>
      <c r="C1102" s="39" t="s">
        <v>1856</v>
      </c>
      <c r="D1102" s="39" t="s">
        <v>2100</v>
      </c>
      <c r="E1102" s="39" t="s">
        <v>129</v>
      </c>
      <c r="F1102" s="139" t="s">
        <v>1924</v>
      </c>
      <c r="G1102" s="39" t="s">
        <v>1925</v>
      </c>
      <c r="H1102" s="139">
        <v>350</v>
      </c>
      <c r="I1102" s="39" t="s">
        <v>109</v>
      </c>
      <c r="J1102" s="147">
        <v>46157</v>
      </c>
      <c r="K1102" s="139">
        <v>4.65</v>
      </c>
      <c r="L1102" s="142">
        <v>0.13</v>
      </c>
      <c r="M1102" s="139">
        <f t="shared" si="33"/>
        <v>1627.5</v>
      </c>
      <c r="N1102" s="139" t="s">
        <v>1920</v>
      </c>
      <c r="O1102" s="139"/>
      <c r="P1102" s="143"/>
      <c r="Q1102" s="39" t="s">
        <v>513</v>
      </c>
      <c r="R1102" s="39"/>
      <c r="S1102" s="39"/>
      <c r="T1102" s="39"/>
      <c r="U1102" s="39"/>
      <c r="V1102" s="39"/>
    </row>
    <row r="1103" spans="1:22">
      <c r="A1103" s="39"/>
      <c r="B1103" s="39" t="s">
        <v>1465</v>
      </c>
      <c r="C1103" s="39" t="s">
        <v>1856</v>
      </c>
      <c r="D1103" s="39" t="s">
        <v>2101</v>
      </c>
      <c r="E1103" s="39" t="s">
        <v>129</v>
      </c>
      <c r="F1103" s="139" t="s">
        <v>1911</v>
      </c>
      <c r="G1103" s="39" t="s">
        <v>2102</v>
      </c>
      <c r="H1103" s="139">
        <v>50</v>
      </c>
      <c r="I1103" s="139" t="s">
        <v>1875</v>
      </c>
      <c r="J1103" s="39" t="s">
        <v>2103</v>
      </c>
      <c r="K1103" s="139">
        <v>2</v>
      </c>
      <c r="L1103" s="142">
        <v>0.01</v>
      </c>
      <c r="M1103" s="139">
        <f t="shared" si="33"/>
        <v>100</v>
      </c>
      <c r="N1103" s="139" t="s">
        <v>1913</v>
      </c>
      <c r="O1103" s="139"/>
      <c r="P1103" s="143"/>
      <c r="Q1103" s="39" t="s">
        <v>513</v>
      </c>
      <c r="R1103" s="39"/>
      <c r="S1103" s="39"/>
      <c r="T1103" s="39"/>
      <c r="U1103" s="39"/>
      <c r="V1103" s="39"/>
    </row>
    <row r="1104" spans="1:22">
      <c r="A1104" s="39"/>
      <c r="B1104" s="39" t="s">
        <v>1465</v>
      </c>
      <c r="C1104" s="39" t="s">
        <v>1856</v>
      </c>
      <c r="D1104" s="39" t="s">
        <v>2101</v>
      </c>
      <c r="E1104" s="39" t="s">
        <v>129</v>
      </c>
      <c r="F1104" s="139" t="s">
        <v>2104</v>
      </c>
      <c r="G1104" s="139" t="s">
        <v>2105</v>
      </c>
      <c r="H1104" s="139">
        <v>16</v>
      </c>
      <c r="I1104" s="139" t="s">
        <v>316</v>
      </c>
      <c r="J1104" s="147">
        <v>46151</v>
      </c>
      <c r="K1104" s="139">
        <v>4.04</v>
      </c>
      <c r="L1104" s="142">
        <v>0.13</v>
      </c>
      <c r="M1104" s="139">
        <f t="shared" si="33"/>
        <v>64.64</v>
      </c>
      <c r="N1104" s="139" t="s">
        <v>2106</v>
      </c>
      <c r="O1104" s="139"/>
      <c r="P1104" s="143"/>
      <c r="Q1104" s="39" t="s">
        <v>513</v>
      </c>
      <c r="R1104" s="39"/>
      <c r="S1104" s="39"/>
      <c r="T1104" s="39"/>
      <c r="U1104" s="39"/>
      <c r="V1104" s="39"/>
    </row>
    <row r="1105" spans="1:22">
      <c r="A1105" s="39"/>
      <c r="B1105" s="39" t="s">
        <v>1442</v>
      </c>
      <c r="C1105" s="39" t="s">
        <v>1851</v>
      </c>
      <c r="D1105" s="39" t="s">
        <v>2107</v>
      </c>
      <c r="E1105" s="39" t="s">
        <v>129</v>
      </c>
      <c r="F1105" s="139" t="s">
        <v>2108</v>
      </c>
      <c r="G1105" s="39" t="s">
        <v>2109</v>
      </c>
      <c r="H1105" s="139">
        <v>1</v>
      </c>
      <c r="I1105" s="39" t="s">
        <v>109</v>
      </c>
      <c r="J1105" s="147">
        <v>46154</v>
      </c>
      <c r="K1105" s="139">
        <v>250</v>
      </c>
      <c r="L1105" s="142">
        <v>0.01</v>
      </c>
      <c r="M1105" s="139">
        <f t="shared" si="33"/>
        <v>250</v>
      </c>
      <c r="N1105" s="139" t="s">
        <v>519</v>
      </c>
      <c r="O1105" s="139"/>
      <c r="P1105" s="143"/>
      <c r="Q1105" s="39" t="s">
        <v>513</v>
      </c>
      <c r="R1105" s="39"/>
      <c r="S1105" s="39"/>
      <c r="T1105" s="39"/>
      <c r="U1105" s="39"/>
      <c r="V1105" s="39"/>
    </row>
    <row r="1106" spans="1:22">
      <c r="A1106" s="39"/>
      <c r="B1106" s="39" t="s">
        <v>1442</v>
      </c>
      <c r="C1106" s="39" t="s">
        <v>1851</v>
      </c>
      <c r="D1106" s="39" t="s">
        <v>2107</v>
      </c>
      <c r="E1106" s="39" t="s">
        <v>129</v>
      </c>
      <c r="F1106" s="139" t="s">
        <v>2110</v>
      </c>
      <c r="G1106" s="39" t="s">
        <v>2111</v>
      </c>
      <c r="H1106" s="139">
        <v>1</v>
      </c>
      <c r="I1106" s="39" t="s">
        <v>109</v>
      </c>
      <c r="J1106" s="147">
        <v>46154</v>
      </c>
      <c r="K1106" s="139">
        <v>252</v>
      </c>
      <c r="L1106" s="142">
        <v>0.01</v>
      </c>
      <c r="M1106" s="139">
        <f t="shared" si="33"/>
        <v>252</v>
      </c>
      <c r="N1106" s="139" t="s">
        <v>519</v>
      </c>
      <c r="O1106" s="139"/>
      <c r="P1106" s="143"/>
      <c r="Q1106" s="39" t="s">
        <v>513</v>
      </c>
      <c r="R1106" s="39"/>
      <c r="S1106" s="39"/>
      <c r="T1106" s="39"/>
      <c r="U1106" s="39"/>
      <c r="V1106" s="39"/>
    </row>
    <row r="1107" spans="1:22">
      <c r="A1107" s="39"/>
      <c r="B1107" s="39" t="s">
        <v>1442</v>
      </c>
      <c r="C1107" s="39" t="s">
        <v>1851</v>
      </c>
      <c r="D1107" s="39" t="s">
        <v>2005</v>
      </c>
      <c r="E1107" s="39" t="s">
        <v>129</v>
      </c>
      <c r="F1107" s="139" t="s">
        <v>2112</v>
      </c>
      <c r="G1107" s="139" t="s">
        <v>2113</v>
      </c>
      <c r="H1107" s="139">
        <v>100</v>
      </c>
      <c r="I1107" s="39" t="s">
        <v>109</v>
      </c>
      <c r="J1107" s="147">
        <v>46154</v>
      </c>
      <c r="K1107" s="139">
        <v>0.28</v>
      </c>
      <c r="L1107" s="142">
        <v>0.01</v>
      </c>
      <c r="M1107" s="139">
        <f t="shared" si="33"/>
        <v>28</v>
      </c>
      <c r="N1107" s="139" t="s">
        <v>519</v>
      </c>
      <c r="O1107" s="139"/>
      <c r="P1107" s="143"/>
      <c r="Q1107" s="39" t="s">
        <v>513</v>
      </c>
      <c r="R1107" s="39"/>
      <c r="S1107" s="39"/>
      <c r="T1107" s="39"/>
      <c r="U1107" s="39"/>
      <c r="V1107" s="39"/>
    </row>
    <row r="1108" spans="1:22">
      <c r="A1108" s="39"/>
      <c r="B1108" s="39" t="s">
        <v>2114</v>
      </c>
      <c r="C1108" s="39" t="s">
        <v>2085</v>
      </c>
      <c r="D1108" s="39" t="s">
        <v>2115</v>
      </c>
      <c r="E1108" s="39" t="s">
        <v>129</v>
      </c>
      <c r="F1108" s="139" t="s">
        <v>2116</v>
      </c>
      <c r="G1108" s="39" t="s">
        <v>2117</v>
      </c>
      <c r="H1108" s="139">
        <v>4</v>
      </c>
      <c r="I1108" s="39" t="s">
        <v>533</v>
      </c>
      <c r="J1108" s="147">
        <v>46150</v>
      </c>
      <c r="K1108" s="139">
        <v>11</v>
      </c>
      <c r="L1108" s="142">
        <v>0.01</v>
      </c>
      <c r="M1108" s="139">
        <f t="shared" si="33"/>
        <v>44</v>
      </c>
      <c r="N1108" s="139" t="s">
        <v>519</v>
      </c>
      <c r="O1108" s="139"/>
      <c r="P1108" s="143"/>
      <c r="Q1108" s="39" t="s">
        <v>513</v>
      </c>
      <c r="R1108" s="39"/>
      <c r="S1108" s="39"/>
      <c r="T1108" s="39"/>
      <c r="U1108" s="39"/>
      <c r="V1108" s="39"/>
    </row>
    <row r="1109" spans="1:22">
      <c r="A1109" s="39"/>
      <c r="B1109" s="39" t="s">
        <v>1442</v>
      </c>
      <c r="C1109" s="39" t="s">
        <v>1851</v>
      </c>
      <c r="D1109" s="39" t="s">
        <v>2005</v>
      </c>
      <c r="E1109" s="39" t="s">
        <v>129</v>
      </c>
      <c r="F1109" s="139" t="s">
        <v>2118</v>
      </c>
      <c r="G1109" s="39" t="s">
        <v>2119</v>
      </c>
      <c r="H1109" s="139">
        <v>1</v>
      </c>
      <c r="I1109" s="39" t="s">
        <v>109</v>
      </c>
      <c r="J1109" s="147">
        <v>46154</v>
      </c>
      <c r="K1109" s="139">
        <v>39</v>
      </c>
      <c r="L1109" s="142">
        <v>0.01</v>
      </c>
      <c r="M1109" s="139">
        <f t="shared" si="33"/>
        <v>39</v>
      </c>
      <c r="N1109" s="139" t="s">
        <v>519</v>
      </c>
      <c r="O1109" s="139"/>
      <c r="P1109" s="143"/>
      <c r="Q1109" s="39" t="s">
        <v>513</v>
      </c>
      <c r="R1109" s="39"/>
      <c r="S1109" s="39"/>
      <c r="T1109" s="39"/>
      <c r="U1109" s="39"/>
      <c r="V1109" s="39"/>
    </row>
    <row r="1110" spans="1:22">
      <c r="A1110" s="39"/>
      <c r="B1110" s="39" t="s">
        <v>1423</v>
      </c>
      <c r="C1110" s="39" t="s">
        <v>1851</v>
      </c>
      <c r="D1110" s="39" t="s">
        <v>1822</v>
      </c>
      <c r="E1110" s="39" t="s">
        <v>129</v>
      </c>
      <c r="F1110" s="139" t="s">
        <v>2120</v>
      </c>
      <c r="G1110" s="39" t="s">
        <v>2121</v>
      </c>
      <c r="H1110" s="139">
        <v>4</v>
      </c>
      <c r="I1110" s="39" t="s">
        <v>109</v>
      </c>
      <c r="J1110" s="147">
        <v>38848</v>
      </c>
      <c r="K1110" s="139">
        <v>28</v>
      </c>
      <c r="L1110" s="142">
        <v>0.01</v>
      </c>
      <c r="M1110" s="139">
        <f t="shared" si="33"/>
        <v>112</v>
      </c>
      <c r="N1110" s="139" t="s">
        <v>519</v>
      </c>
      <c r="O1110" s="139"/>
      <c r="P1110" s="143"/>
      <c r="Q1110" s="39" t="s">
        <v>513</v>
      </c>
      <c r="R1110" s="39"/>
      <c r="S1110" s="39"/>
      <c r="T1110" s="39"/>
      <c r="U1110" s="39"/>
      <c r="V1110" s="39"/>
    </row>
    <row r="1111" spans="1:22">
      <c r="A1111" s="39"/>
      <c r="B1111" s="39" t="s">
        <v>1423</v>
      </c>
      <c r="C1111" s="39" t="s">
        <v>1851</v>
      </c>
      <c r="D1111" s="39" t="s">
        <v>1822</v>
      </c>
      <c r="E1111" s="39" t="s">
        <v>129</v>
      </c>
      <c r="F1111" s="139" t="s">
        <v>2122</v>
      </c>
      <c r="G1111" s="39" t="s">
        <v>2123</v>
      </c>
      <c r="H1111" s="139">
        <v>1</v>
      </c>
      <c r="I1111" s="39" t="s">
        <v>109</v>
      </c>
      <c r="J1111" s="147">
        <v>38848</v>
      </c>
      <c r="K1111" s="139">
        <v>32</v>
      </c>
      <c r="L1111" s="142">
        <v>0.01</v>
      </c>
      <c r="M1111" s="139">
        <f t="shared" si="33"/>
        <v>32</v>
      </c>
      <c r="N1111" s="139" t="s">
        <v>519</v>
      </c>
      <c r="O1111" s="139"/>
      <c r="P1111" s="143"/>
      <c r="Q1111" s="39" t="s">
        <v>513</v>
      </c>
      <c r="R1111" s="39"/>
      <c r="S1111" s="39"/>
      <c r="T1111" s="39"/>
      <c r="U1111" s="39"/>
      <c r="V1111" s="39"/>
    </row>
    <row r="1112" spans="1:22">
      <c r="A1112" s="39"/>
      <c r="B1112" s="39" t="s">
        <v>1423</v>
      </c>
      <c r="C1112" s="39" t="s">
        <v>1851</v>
      </c>
      <c r="D1112" s="39" t="s">
        <v>1822</v>
      </c>
      <c r="E1112" s="39" t="s">
        <v>129</v>
      </c>
      <c r="F1112" s="139" t="s">
        <v>2124</v>
      </c>
      <c r="G1112" s="39" t="s">
        <v>2125</v>
      </c>
      <c r="H1112" s="139">
        <v>4</v>
      </c>
      <c r="I1112" s="139" t="s">
        <v>109</v>
      </c>
      <c r="J1112" s="147">
        <v>38848</v>
      </c>
      <c r="K1112" s="139">
        <v>39.6</v>
      </c>
      <c r="L1112" s="142">
        <v>0.01</v>
      </c>
      <c r="M1112" s="139">
        <f t="shared" si="33"/>
        <v>158.4</v>
      </c>
      <c r="N1112" s="139" t="s">
        <v>519</v>
      </c>
      <c r="O1112" s="139"/>
      <c r="P1112" s="143"/>
      <c r="Q1112" s="39" t="s">
        <v>513</v>
      </c>
      <c r="R1112" s="39"/>
      <c r="S1112" s="39"/>
      <c r="T1112" s="39"/>
      <c r="U1112" s="39"/>
      <c r="V1112" s="39"/>
    </row>
    <row r="1113" spans="1:22">
      <c r="A1113" s="39"/>
      <c r="B1113" s="39" t="s">
        <v>1423</v>
      </c>
      <c r="C1113" s="39" t="s">
        <v>1851</v>
      </c>
      <c r="D1113" s="39" t="s">
        <v>1822</v>
      </c>
      <c r="E1113" s="39" t="s">
        <v>129</v>
      </c>
      <c r="F1113" s="139" t="s">
        <v>2126</v>
      </c>
      <c r="G1113" s="39" t="s">
        <v>2127</v>
      </c>
      <c r="H1113" s="139">
        <v>1</v>
      </c>
      <c r="I1113" s="39" t="s">
        <v>109</v>
      </c>
      <c r="J1113" s="147">
        <v>38848</v>
      </c>
      <c r="K1113" s="139">
        <v>63</v>
      </c>
      <c r="L1113" s="142">
        <v>0.01</v>
      </c>
      <c r="M1113" s="139">
        <f t="shared" si="33"/>
        <v>63</v>
      </c>
      <c r="N1113" s="139" t="s">
        <v>519</v>
      </c>
      <c r="O1113" s="139"/>
      <c r="P1113" s="143"/>
      <c r="Q1113" s="39" t="s">
        <v>513</v>
      </c>
      <c r="R1113" s="39"/>
      <c r="S1113" s="39"/>
      <c r="T1113" s="39"/>
      <c r="U1113" s="39"/>
      <c r="V1113" s="39"/>
    </row>
    <row r="1114" spans="1:22">
      <c r="A1114" s="39"/>
      <c r="B1114" s="39" t="s">
        <v>1423</v>
      </c>
      <c r="C1114" s="39" t="s">
        <v>1851</v>
      </c>
      <c r="D1114" s="39" t="s">
        <v>1822</v>
      </c>
      <c r="E1114" s="39" t="s">
        <v>129</v>
      </c>
      <c r="F1114" s="139" t="s">
        <v>2128</v>
      </c>
      <c r="G1114" s="39" t="s">
        <v>2129</v>
      </c>
      <c r="H1114" s="139">
        <v>2</v>
      </c>
      <c r="I1114" s="39" t="s">
        <v>109</v>
      </c>
      <c r="J1114" s="147">
        <v>38848</v>
      </c>
      <c r="K1114" s="139">
        <v>28.6</v>
      </c>
      <c r="L1114" s="142">
        <v>0.01</v>
      </c>
      <c r="M1114" s="139">
        <f t="shared" si="33"/>
        <v>57.2</v>
      </c>
      <c r="N1114" s="139" t="s">
        <v>519</v>
      </c>
      <c r="O1114" s="139"/>
      <c r="P1114" s="143"/>
      <c r="Q1114" s="39" t="s">
        <v>513</v>
      </c>
      <c r="R1114" s="39"/>
      <c r="S1114" s="39"/>
      <c r="T1114" s="39"/>
      <c r="U1114" s="39"/>
      <c r="V1114" s="39"/>
    </row>
    <row r="1115" spans="1:22">
      <c r="A1115" s="39"/>
      <c r="B1115" s="39"/>
      <c r="C1115" s="39"/>
      <c r="D1115" s="39"/>
      <c r="E1115" s="39" t="s">
        <v>129</v>
      </c>
      <c r="F1115" s="139" t="s">
        <v>1930</v>
      </c>
      <c r="G1115" s="39" t="s">
        <v>1799</v>
      </c>
      <c r="H1115" s="139">
        <v>3</v>
      </c>
      <c r="I1115" s="39" t="s">
        <v>109</v>
      </c>
      <c r="J1115" s="147">
        <v>46157</v>
      </c>
      <c r="K1115" s="139">
        <v>245</v>
      </c>
      <c r="L1115" s="142">
        <v>0.13</v>
      </c>
      <c r="M1115" s="139">
        <f t="shared" si="33"/>
        <v>735</v>
      </c>
      <c r="N1115" s="139" t="s">
        <v>271</v>
      </c>
      <c r="O1115" s="140">
        <v>46151</v>
      </c>
      <c r="P1115" s="143" t="s">
        <v>2130</v>
      </c>
      <c r="Q1115" s="39" t="s">
        <v>513</v>
      </c>
      <c r="R1115" s="147" t="s">
        <v>2131</v>
      </c>
      <c r="S1115" s="39"/>
      <c r="T1115" s="39"/>
      <c r="U1115" s="39"/>
      <c r="V1115" s="39"/>
    </row>
    <row r="1116" spans="1:22">
      <c r="A1116" s="39"/>
      <c r="B1116" s="39"/>
      <c r="C1116" s="39"/>
      <c r="D1116" s="39"/>
      <c r="E1116" s="39" t="s">
        <v>129</v>
      </c>
      <c r="F1116" s="139" t="s">
        <v>1933</v>
      </c>
      <c r="G1116" s="39">
        <v>6061</v>
      </c>
      <c r="H1116" s="139">
        <v>3</v>
      </c>
      <c r="I1116" s="39" t="s">
        <v>109</v>
      </c>
      <c r="J1116" s="147">
        <v>46157</v>
      </c>
      <c r="K1116" s="139">
        <v>135</v>
      </c>
      <c r="L1116" s="142">
        <v>0.13</v>
      </c>
      <c r="M1116" s="139">
        <f t="shared" si="33"/>
        <v>405</v>
      </c>
      <c r="N1116" s="139" t="s">
        <v>271</v>
      </c>
      <c r="O1116" s="140">
        <v>46151</v>
      </c>
      <c r="P1116" s="143" t="s">
        <v>2130</v>
      </c>
      <c r="Q1116" s="39" t="s">
        <v>513</v>
      </c>
      <c r="R1116" s="147" t="s">
        <v>2131</v>
      </c>
      <c r="S1116" s="39"/>
      <c r="T1116" s="39"/>
      <c r="U1116" s="39"/>
      <c r="V1116" s="39"/>
    </row>
    <row r="1117" spans="1:22">
      <c r="A1117" s="39"/>
      <c r="B1117" s="39" t="s">
        <v>1421</v>
      </c>
      <c r="C1117" s="39" t="s">
        <v>2085</v>
      </c>
      <c r="D1117" s="39" t="s">
        <v>2132</v>
      </c>
      <c r="E1117" s="39" t="s">
        <v>129</v>
      </c>
      <c r="F1117" s="39" t="s">
        <v>2133</v>
      </c>
      <c r="G1117" s="39"/>
      <c r="H1117" s="139">
        <v>9</v>
      </c>
      <c r="I1117" s="39" t="s">
        <v>109</v>
      </c>
      <c r="J1117" s="147">
        <v>46154</v>
      </c>
      <c r="K1117" s="139">
        <f>M1117/H1117</f>
        <v>79.4444444444444</v>
      </c>
      <c r="L1117" s="142">
        <v>0.01</v>
      </c>
      <c r="M1117" s="139">
        <v>715</v>
      </c>
      <c r="N1117" s="139" t="s">
        <v>519</v>
      </c>
      <c r="O1117" s="139"/>
      <c r="P1117" s="143"/>
      <c r="Q1117" s="39" t="s">
        <v>513</v>
      </c>
      <c r="R1117" s="39"/>
      <c r="S1117" s="39"/>
      <c r="T1117" s="39"/>
      <c r="U1117" s="39"/>
      <c r="V1117" s="39"/>
    </row>
    <row r="1118" spans="1:22">
      <c r="A1118" s="39"/>
      <c r="B1118" s="39" t="s">
        <v>1434</v>
      </c>
      <c r="C1118" s="39" t="s">
        <v>2134</v>
      </c>
      <c r="D1118" s="39"/>
      <c r="E1118" s="39" t="s">
        <v>129</v>
      </c>
      <c r="F1118" s="139" t="s">
        <v>2135</v>
      </c>
      <c r="G1118" s="39" t="s">
        <v>2136</v>
      </c>
      <c r="H1118" s="139">
        <v>1</v>
      </c>
      <c r="I1118" s="39" t="s">
        <v>109</v>
      </c>
      <c r="J1118" s="147">
        <v>46157</v>
      </c>
      <c r="K1118" s="139">
        <v>66</v>
      </c>
      <c r="L1118" s="142">
        <v>0.01</v>
      </c>
      <c r="M1118" s="139">
        <f t="shared" si="33"/>
        <v>66</v>
      </c>
      <c r="N1118" s="139" t="s">
        <v>519</v>
      </c>
      <c r="O1118" s="139"/>
      <c r="P1118" s="143"/>
      <c r="Q1118" s="39" t="s">
        <v>513</v>
      </c>
      <c r="R1118" s="39"/>
      <c r="S1118" s="39"/>
      <c r="T1118" s="39"/>
      <c r="U1118" s="39"/>
      <c r="V1118" s="39"/>
    </row>
    <row r="1119" spans="1:22">
      <c r="A1119" s="39"/>
      <c r="B1119" s="39" t="s">
        <v>1434</v>
      </c>
      <c r="C1119" s="39" t="s">
        <v>2134</v>
      </c>
      <c r="D1119" s="39"/>
      <c r="E1119" s="39" t="s">
        <v>129</v>
      </c>
      <c r="F1119" s="139" t="s">
        <v>2137</v>
      </c>
      <c r="G1119" s="39" t="s">
        <v>2138</v>
      </c>
      <c r="H1119" s="139">
        <v>2</v>
      </c>
      <c r="I1119" s="139" t="s">
        <v>109</v>
      </c>
      <c r="J1119" s="147">
        <v>46157</v>
      </c>
      <c r="K1119" s="139">
        <v>55</v>
      </c>
      <c r="L1119" s="142">
        <v>0.01</v>
      </c>
      <c r="M1119" s="139">
        <f t="shared" si="33"/>
        <v>110</v>
      </c>
      <c r="N1119" s="139" t="s">
        <v>519</v>
      </c>
      <c r="O1119" s="139"/>
      <c r="P1119" s="143"/>
      <c r="Q1119" s="39" t="s">
        <v>513</v>
      </c>
      <c r="R1119" s="39"/>
      <c r="S1119" s="39"/>
      <c r="T1119" s="39"/>
      <c r="U1119" s="39"/>
      <c r="V1119" s="39"/>
    </row>
    <row r="1120" spans="1:22">
      <c r="A1120" s="39"/>
      <c r="B1120" s="39" t="s">
        <v>1434</v>
      </c>
      <c r="C1120" s="39" t="s">
        <v>2134</v>
      </c>
      <c r="D1120" s="39"/>
      <c r="E1120" s="39" t="s">
        <v>129</v>
      </c>
      <c r="F1120" s="139" t="s">
        <v>2139</v>
      </c>
      <c r="G1120" s="39" t="s">
        <v>2140</v>
      </c>
      <c r="H1120" s="139">
        <v>2</v>
      </c>
      <c r="I1120" s="139" t="s">
        <v>109</v>
      </c>
      <c r="J1120" s="147">
        <v>46157</v>
      </c>
      <c r="K1120" s="139">
        <v>47</v>
      </c>
      <c r="L1120" s="142">
        <v>0.01</v>
      </c>
      <c r="M1120" s="139">
        <f t="shared" si="33"/>
        <v>94</v>
      </c>
      <c r="N1120" s="139" t="s">
        <v>519</v>
      </c>
      <c r="O1120" s="139"/>
      <c r="P1120" s="143"/>
      <c r="Q1120" s="39" t="s">
        <v>513</v>
      </c>
      <c r="R1120" s="39"/>
      <c r="S1120" s="39"/>
      <c r="T1120" s="39"/>
      <c r="U1120" s="39"/>
      <c r="V1120" s="39"/>
    </row>
    <row r="1121" spans="1:22">
      <c r="A1121" s="39"/>
      <c r="B1121" s="39" t="s">
        <v>1434</v>
      </c>
      <c r="C1121" s="39" t="s">
        <v>2134</v>
      </c>
      <c r="D1121" s="39"/>
      <c r="E1121" s="39" t="s">
        <v>129</v>
      </c>
      <c r="F1121" s="139" t="s">
        <v>2141</v>
      </c>
      <c r="G1121" s="39" t="s">
        <v>2142</v>
      </c>
      <c r="H1121" s="139">
        <v>10</v>
      </c>
      <c r="I1121" s="139" t="s">
        <v>316</v>
      </c>
      <c r="J1121" s="147">
        <v>46157</v>
      </c>
      <c r="K1121" s="139">
        <v>22</v>
      </c>
      <c r="L1121" s="142">
        <v>0.01</v>
      </c>
      <c r="M1121" s="139">
        <f t="shared" si="33"/>
        <v>220</v>
      </c>
      <c r="N1121" s="139" t="s">
        <v>519</v>
      </c>
      <c r="O1121" s="139"/>
      <c r="P1121" s="143"/>
      <c r="Q1121" s="39" t="s">
        <v>513</v>
      </c>
      <c r="R1121" s="39"/>
      <c r="S1121" s="39"/>
      <c r="T1121" s="39"/>
      <c r="U1121" s="39"/>
      <c r="V1121" s="39"/>
    </row>
    <row r="1122" spans="1:22">
      <c r="A1122" s="39"/>
      <c r="B1122" s="39" t="s">
        <v>1434</v>
      </c>
      <c r="C1122" s="39" t="s">
        <v>2134</v>
      </c>
      <c r="D1122" s="39"/>
      <c r="E1122" s="39" t="s">
        <v>129</v>
      </c>
      <c r="F1122" s="139" t="s">
        <v>740</v>
      </c>
      <c r="G1122" s="39" t="s">
        <v>2143</v>
      </c>
      <c r="H1122" s="139">
        <v>1</v>
      </c>
      <c r="I1122" s="139" t="s">
        <v>46</v>
      </c>
      <c r="J1122" s="147">
        <v>46157</v>
      </c>
      <c r="K1122" s="139">
        <f>M1122/H1122</f>
        <v>47</v>
      </c>
      <c r="L1122" s="142">
        <v>0.01</v>
      </c>
      <c r="M1122" s="139">
        <v>47</v>
      </c>
      <c r="N1122" s="139" t="s">
        <v>519</v>
      </c>
      <c r="O1122" s="139"/>
      <c r="P1122" s="143"/>
      <c r="Q1122" s="39" t="s">
        <v>513</v>
      </c>
      <c r="R1122" s="39"/>
      <c r="S1122" s="39"/>
      <c r="T1122" s="39"/>
      <c r="U1122" s="39"/>
      <c r="V1122" s="39"/>
    </row>
    <row r="1123" spans="1:22">
      <c r="A1123" s="39"/>
      <c r="B1123" s="39" t="s">
        <v>1434</v>
      </c>
      <c r="C1123" s="39" t="s">
        <v>2134</v>
      </c>
      <c r="D1123" s="39"/>
      <c r="E1123" s="39" t="s">
        <v>129</v>
      </c>
      <c r="F1123" s="139" t="s">
        <v>2144</v>
      </c>
      <c r="G1123" s="39" t="s">
        <v>2145</v>
      </c>
      <c r="H1123" s="139">
        <v>1</v>
      </c>
      <c r="I1123" s="139" t="s">
        <v>46</v>
      </c>
      <c r="J1123" s="147">
        <v>46157</v>
      </c>
      <c r="K1123" s="139">
        <v>12</v>
      </c>
      <c r="L1123" s="142">
        <v>0.01</v>
      </c>
      <c r="M1123" s="139">
        <f t="shared" si="33"/>
        <v>12</v>
      </c>
      <c r="N1123" s="139" t="s">
        <v>519</v>
      </c>
      <c r="O1123" s="139"/>
      <c r="P1123" s="143"/>
      <c r="Q1123" s="39" t="s">
        <v>513</v>
      </c>
      <c r="R1123" s="39"/>
      <c r="S1123" s="39"/>
      <c r="T1123" s="39"/>
      <c r="U1123" s="39"/>
      <c r="V1123" s="39"/>
    </row>
    <row r="1124" spans="1:22">
      <c r="A1124" s="39"/>
      <c r="B1124" s="39" t="s">
        <v>1434</v>
      </c>
      <c r="C1124" s="39" t="s">
        <v>2134</v>
      </c>
      <c r="D1124" s="39"/>
      <c r="E1124" s="39" t="s">
        <v>129</v>
      </c>
      <c r="F1124" s="139" t="s">
        <v>2146</v>
      </c>
      <c r="G1124" s="39"/>
      <c r="H1124" s="139">
        <v>36</v>
      </c>
      <c r="I1124" s="139" t="s">
        <v>202</v>
      </c>
      <c r="J1124" s="147">
        <v>46157</v>
      </c>
      <c r="K1124" s="139">
        <f>M1124/H1124</f>
        <v>5.5</v>
      </c>
      <c r="L1124" s="142">
        <v>0.01</v>
      </c>
      <c r="M1124" s="139">
        <v>198</v>
      </c>
      <c r="N1124" s="139" t="s">
        <v>519</v>
      </c>
      <c r="O1124" s="139"/>
      <c r="P1124" s="143"/>
      <c r="Q1124" s="39" t="s">
        <v>513</v>
      </c>
      <c r="R1124" s="39"/>
      <c r="S1124" s="39"/>
      <c r="T1124" s="39"/>
      <c r="U1124" s="39"/>
      <c r="V1124" s="39"/>
    </row>
    <row r="1125" spans="1:22">
      <c r="A1125" s="39"/>
      <c r="B1125" s="39" t="s">
        <v>1434</v>
      </c>
      <c r="C1125" s="39" t="s">
        <v>2134</v>
      </c>
      <c r="D1125" s="39"/>
      <c r="E1125" s="39" t="s">
        <v>129</v>
      </c>
      <c r="F1125" s="139" t="s">
        <v>2147</v>
      </c>
      <c r="G1125" s="39" t="s">
        <v>2148</v>
      </c>
      <c r="H1125" s="139">
        <v>6</v>
      </c>
      <c r="I1125" s="139" t="s">
        <v>457</v>
      </c>
      <c r="J1125" s="147">
        <v>46157</v>
      </c>
      <c r="K1125" s="139">
        <f>M1125/H1125</f>
        <v>6.83333333333333</v>
      </c>
      <c r="L1125" s="142">
        <v>0.01</v>
      </c>
      <c r="M1125" s="139">
        <v>41</v>
      </c>
      <c r="N1125" s="139" t="s">
        <v>519</v>
      </c>
      <c r="O1125" s="139"/>
      <c r="P1125" s="143"/>
      <c r="Q1125" s="39" t="s">
        <v>513</v>
      </c>
      <c r="R1125" s="39"/>
      <c r="S1125" s="39"/>
      <c r="T1125" s="39"/>
      <c r="U1125" s="39"/>
      <c r="V1125" s="39"/>
    </row>
    <row r="1126" spans="1:22">
      <c r="A1126" s="39"/>
      <c r="B1126" s="39" t="s">
        <v>1442</v>
      </c>
      <c r="C1126" s="39" t="s">
        <v>1851</v>
      </c>
      <c r="D1126" s="39" t="s">
        <v>2107</v>
      </c>
      <c r="E1126" s="39" t="s">
        <v>129</v>
      </c>
      <c r="F1126" s="139" t="s">
        <v>2149</v>
      </c>
      <c r="G1126" s="39" t="s">
        <v>2150</v>
      </c>
      <c r="H1126" s="139">
        <v>10</v>
      </c>
      <c r="I1126" s="139" t="s">
        <v>109</v>
      </c>
      <c r="J1126" s="147">
        <v>46154</v>
      </c>
      <c r="K1126" s="139">
        <f>M1126/H1126</f>
        <v>1.4</v>
      </c>
      <c r="L1126" s="142">
        <v>0.01</v>
      </c>
      <c r="M1126" s="139">
        <v>14</v>
      </c>
      <c r="N1126" s="139" t="s">
        <v>519</v>
      </c>
      <c r="O1126" s="139"/>
      <c r="P1126" s="143"/>
      <c r="Q1126" s="39" t="s">
        <v>513</v>
      </c>
      <c r="R1126" s="39"/>
      <c r="S1126" s="39"/>
      <c r="T1126" s="39"/>
      <c r="U1126" s="39"/>
      <c r="V1126" s="39"/>
    </row>
    <row r="1127" spans="1:22">
      <c r="A1127" s="39"/>
      <c r="B1127" s="39" t="s">
        <v>1442</v>
      </c>
      <c r="C1127" s="39" t="s">
        <v>1851</v>
      </c>
      <c r="D1127" s="39" t="s">
        <v>2107</v>
      </c>
      <c r="E1127" s="39" t="s">
        <v>129</v>
      </c>
      <c r="F1127" s="139" t="s">
        <v>2151</v>
      </c>
      <c r="G1127" s="39" t="s">
        <v>2150</v>
      </c>
      <c r="H1127" s="139">
        <v>10</v>
      </c>
      <c r="I1127" s="139" t="s">
        <v>109</v>
      </c>
      <c r="J1127" s="147">
        <v>46154</v>
      </c>
      <c r="K1127" s="139">
        <f>M1127/H1127</f>
        <v>1.8</v>
      </c>
      <c r="L1127" s="142">
        <v>0.01</v>
      </c>
      <c r="M1127" s="139">
        <v>18</v>
      </c>
      <c r="N1127" s="139" t="s">
        <v>519</v>
      </c>
      <c r="O1127" s="139"/>
      <c r="P1127" s="143"/>
      <c r="Q1127" s="39" t="s">
        <v>513</v>
      </c>
      <c r="R1127" s="39"/>
      <c r="S1127" s="39"/>
      <c r="T1127" s="39"/>
      <c r="U1127" s="39"/>
      <c r="V1127" s="39"/>
    </row>
    <row r="1128" spans="1:22">
      <c r="A1128" s="39"/>
      <c r="B1128" s="39" t="s">
        <v>2114</v>
      </c>
      <c r="C1128" s="39" t="s">
        <v>2085</v>
      </c>
      <c r="D1128" s="39" t="s">
        <v>2152</v>
      </c>
      <c r="E1128" s="39" t="s">
        <v>129</v>
      </c>
      <c r="F1128" s="139" t="s">
        <v>2153</v>
      </c>
      <c r="G1128" s="39" t="s">
        <v>2154</v>
      </c>
      <c r="H1128" s="139">
        <v>1</v>
      </c>
      <c r="I1128" s="139" t="s">
        <v>109</v>
      </c>
      <c r="J1128" s="147">
        <v>46154</v>
      </c>
      <c r="K1128" s="139">
        <v>335.5</v>
      </c>
      <c r="L1128" s="142">
        <v>0.01</v>
      </c>
      <c r="M1128" s="139">
        <f t="shared" si="33"/>
        <v>335.5</v>
      </c>
      <c r="N1128" s="139" t="s">
        <v>519</v>
      </c>
      <c r="O1128" s="139"/>
      <c r="P1128" s="143"/>
      <c r="Q1128" s="39" t="s">
        <v>513</v>
      </c>
      <c r="R1128" s="39"/>
      <c r="S1128" s="39"/>
      <c r="T1128" s="39"/>
      <c r="U1128" s="39"/>
      <c r="V1128" s="39"/>
    </row>
    <row r="1129" spans="1:22">
      <c r="A1129" s="39"/>
      <c r="B1129" s="39" t="s">
        <v>1421</v>
      </c>
      <c r="C1129" s="39" t="s">
        <v>2085</v>
      </c>
      <c r="D1129" s="39" t="s">
        <v>2132</v>
      </c>
      <c r="E1129" s="39" t="s">
        <v>129</v>
      </c>
      <c r="F1129" s="139" t="s">
        <v>2155</v>
      </c>
      <c r="G1129" s="39" t="s">
        <v>2156</v>
      </c>
      <c r="H1129" s="139">
        <v>10</v>
      </c>
      <c r="I1129" s="139" t="s">
        <v>109</v>
      </c>
      <c r="J1129" s="147">
        <v>46156</v>
      </c>
      <c r="K1129" s="139">
        <v>6.5</v>
      </c>
      <c r="L1129" s="142">
        <v>0.01</v>
      </c>
      <c r="M1129" s="139">
        <f t="shared" si="33"/>
        <v>65</v>
      </c>
      <c r="N1129" s="139" t="s">
        <v>519</v>
      </c>
      <c r="O1129" s="139"/>
      <c r="P1129" s="143"/>
      <c r="Q1129" s="39" t="s">
        <v>513</v>
      </c>
      <c r="R1129" s="39"/>
      <c r="S1129" s="39"/>
      <c r="T1129" s="39"/>
      <c r="U1129" s="39"/>
      <c r="V1129" s="39"/>
    </row>
    <row r="1130" spans="1:22">
      <c r="A1130" s="39"/>
      <c r="B1130" s="39" t="s">
        <v>1453</v>
      </c>
      <c r="C1130" s="39" t="s">
        <v>1856</v>
      </c>
      <c r="D1130" s="39" t="s">
        <v>2157</v>
      </c>
      <c r="E1130" s="39" t="s">
        <v>129</v>
      </c>
      <c r="F1130" s="139" t="s">
        <v>2158</v>
      </c>
      <c r="G1130" s="39" t="s">
        <v>2159</v>
      </c>
      <c r="H1130" s="139">
        <v>2</v>
      </c>
      <c r="I1130" s="139" t="s">
        <v>109</v>
      </c>
      <c r="J1130" s="147">
        <v>46156</v>
      </c>
      <c r="K1130" s="139">
        <v>418</v>
      </c>
      <c r="L1130" s="142">
        <v>0.01</v>
      </c>
      <c r="M1130" s="139">
        <f t="shared" si="33"/>
        <v>836</v>
      </c>
      <c r="N1130" s="139" t="s">
        <v>519</v>
      </c>
      <c r="O1130" s="139"/>
      <c r="P1130" s="143"/>
      <c r="Q1130" s="39" t="s">
        <v>513</v>
      </c>
      <c r="R1130" s="39"/>
      <c r="S1130" s="39"/>
      <c r="T1130" s="39"/>
      <c r="U1130" s="39"/>
      <c r="V1130" s="39"/>
    </row>
    <row r="1131" spans="1:22">
      <c r="A1131" s="39"/>
      <c r="B1131" s="39" t="s">
        <v>1453</v>
      </c>
      <c r="C1131" s="39" t="s">
        <v>1856</v>
      </c>
      <c r="D1131" s="39" t="s">
        <v>2157</v>
      </c>
      <c r="E1131" s="39" t="s">
        <v>129</v>
      </c>
      <c r="F1131" s="139" t="s">
        <v>2160</v>
      </c>
      <c r="G1131" s="139" t="s">
        <v>2161</v>
      </c>
      <c r="H1131" s="139">
        <v>1</v>
      </c>
      <c r="I1131" s="139" t="s">
        <v>109</v>
      </c>
      <c r="J1131" s="147">
        <v>46156</v>
      </c>
      <c r="K1131" s="139">
        <v>600</v>
      </c>
      <c r="L1131" s="142">
        <v>0.13</v>
      </c>
      <c r="M1131" s="139">
        <f t="shared" si="33"/>
        <v>600</v>
      </c>
      <c r="N1131" s="139" t="s">
        <v>2162</v>
      </c>
      <c r="O1131" s="140">
        <v>46153</v>
      </c>
      <c r="P1131" s="143" t="s">
        <v>2163</v>
      </c>
      <c r="Q1131" s="39" t="s">
        <v>513</v>
      </c>
      <c r="R1131" s="39"/>
      <c r="S1131" s="39"/>
      <c r="T1131" s="39"/>
      <c r="U1131" s="39"/>
      <c r="V1131" s="39"/>
    </row>
    <row r="1132" spans="1:22">
      <c r="A1132" s="39"/>
      <c r="B1132" s="39" t="s">
        <v>1453</v>
      </c>
      <c r="C1132" s="39" t="s">
        <v>1856</v>
      </c>
      <c r="D1132" s="39" t="s">
        <v>2157</v>
      </c>
      <c r="E1132" s="39" t="s">
        <v>129</v>
      </c>
      <c r="F1132" s="139" t="s">
        <v>2164</v>
      </c>
      <c r="G1132" s="139" t="s">
        <v>2165</v>
      </c>
      <c r="H1132" s="139">
        <v>1</v>
      </c>
      <c r="I1132" s="139" t="s">
        <v>109</v>
      </c>
      <c r="J1132" s="147">
        <v>46156</v>
      </c>
      <c r="K1132" s="139">
        <v>42</v>
      </c>
      <c r="L1132" s="142">
        <v>0.01</v>
      </c>
      <c r="M1132" s="139">
        <f t="shared" si="33"/>
        <v>42</v>
      </c>
      <c r="N1132" s="139" t="s">
        <v>519</v>
      </c>
      <c r="O1132" s="139"/>
      <c r="P1132" s="143"/>
      <c r="Q1132" s="39" t="s">
        <v>513</v>
      </c>
      <c r="R1132" s="39"/>
      <c r="S1132" s="39"/>
      <c r="T1132" s="39"/>
      <c r="U1132" s="39"/>
      <c r="V1132" s="39"/>
    </row>
    <row r="1133" spans="1:22">
      <c r="A1133" s="39"/>
      <c r="B1133" s="39" t="s">
        <v>1465</v>
      </c>
      <c r="C1133" s="39" t="s">
        <v>1851</v>
      </c>
      <c r="D1133" s="39" t="s">
        <v>2166</v>
      </c>
      <c r="E1133" s="39" t="s">
        <v>129</v>
      </c>
      <c r="F1133" s="139" t="s">
        <v>2167</v>
      </c>
      <c r="G1133" s="39" t="s">
        <v>1959</v>
      </c>
      <c r="H1133" s="139">
        <v>1</v>
      </c>
      <c r="I1133" s="139" t="s">
        <v>109</v>
      </c>
      <c r="J1133" s="147" t="s">
        <v>2168</v>
      </c>
      <c r="K1133" s="139">
        <v>1000</v>
      </c>
      <c r="L1133" s="142">
        <v>0.13</v>
      </c>
      <c r="M1133" s="139">
        <f t="shared" si="33"/>
        <v>1000</v>
      </c>
      <c r="N1133" s="139" t="s">
        <v>364</v>
      </c>
      <c r="O1133" s="140">
        <v>46154</v>
      </c>
      <c r="P1133" s="154" t="s">
        <v>2169</v>
      </c>
      <c r="Q1133" s="39" t="s">
        <v>513</v>
      </c>
      <c r="R1133" s="39"/>
      <c r="S1133" s="39"/>
      <c r="T1133" s="39"/>
      <c r="U1133" s="39"/>
      <c r="V1133" s="39"/>
    </row>
    <row r="1134" spans="1:22">
      <c r="A1134" s="39"/>
      <c r="B1134" s="39" t="s">
        <v>2114</v>
      </c>
      <c r="C1134" s="39" t="s">
        <v>2085</v>
      </c>
      <c r="D1134" s="39" t="s">
        <v>2170</v>
      </c>
      <c r="E1134" s="39" t="s">
        <v>129</v>
      </c>
      <c r="F1134" s="139" t="s">
        <v>2171</v>
      </c>
      <c r="G1134" s="39" t="s">
        <v>2172</v>
      </c>
      <c r="H1134" s="139">
        <v>1</v>
      </c>
      <c r="I1134" s="139" t="s">
        <v>109</v>
      </c>
      <c r="J1134" s="147">
        <v>46156</v>
      </c>
      <c r="K1134" s="139">
        <v>3850</v>
      </c>
      <c r="L1134" s="142">
        <v>0.01</v>
      </c>
      <c r="M1134" s="139">
        <f t="shared" si="33"/>
        <v>3850</v>
      </c>
      <c r="N1134" s="139" t="s">
        <v>519</v>
      </c>
      <c r="O1134" s="139"/>
      <c r="P1134" s="143"/>
      <c r="Q1134" s="39" t="s">
        <v>513</v>
      </c>
      <c r="R1134" s="39"/>
      <c r="S1134" s="39"/>
      <c r="T1134" s="39"/>
      <c r="U1134" s="39"/>
      <c r="V1134" s="39"/>
    </row>
    <row r="1135" spans="1:22">
      <c r="A1135" s="39"/>
      <c r="B1135" s="39" t="s">
        <v>1582</v>
      </c>
      <c r="C1135" s="39" t="s">
        <v>1851</v>
      </c>
      <c r="D1135" s="39" t="s">
        <v>2173</v>
      </c>
      <c r="E1135" s="39" t="s">
        <v>129</v>
      </c>
      <c r="F1135" s="139" t="s">
        <v>2174</v>
      </c>
      <c r="G1135" s="39" t="s">
        <v>2175</v>
      </c>
      <c r="H1135" s="139">
        <v>10</v>
      </c>
      <c r="I1135" s="139" t="s">
        <v>109</v>
      </c>
      <c r="J1135" s="147">
        <v>46156</v>
      </c>
      <c r="K1135" s="139">
        <v>6.8</v>
      </c>
      <c r="L1135" s="142">
        <v>0.01</v>
      </c>
      <c r="M1135" s="139">
        <v>68</v>
      </c>
      <c r="N1135" s="139" t="s">
        <v>519</v>
      </c>
      <c r="O1135" s="139"/>
      <c r="P1135" s="143"/>
      <c r="Q1135" s="39" t="s">
        <v>513</v>
      </c>
      <c r="R1135" s="39"/>
      <c r="S1135" s="39"/>
      <c r="T1135" s="39"/>
      <c r="U1135" s="39"/>
      <c r="V1135" s="39"/>
    </row>
    <row r="1136" spans="1:22">
      <c r="A1136" s="39"/>
      <c r="B1136" s="39" t="s">
        <v>1421</v>
      </c>
      <c r="C1136" s="39" t="s">
        <v>2085</v>
      </c>
      <c r="D1136" s="39" t="s">
        <v>2132</v>
      </c>
      <c r="E1136" s="39" t="s">
        <v>129</v>
      </c>
      <c r="F1136" s="139" t="s">
        <v>2176</v>
      </c>
      <c r="G1136" s="39"/>
      <c r="H1136" s="139">
        <v>15</v>
      </c>
      <c r="I1136" s="139" t="s">
        <v>109</v>
      </c>
      <c r="J1136" s="147">
        <v>46158</v>
      </c>
      <c r="K1136" s="139">
        <v>3.7</v>
      </c>
      <c r="L1136" s="142">
        <v>0.01</v>
      </c>
      <c r="M1136" s="139">
        <f t="shared" si="33"/>
        <v>55.5</v>
      </c>
      <c r="N1136" s="139" t="s">
        <v>519</v>
      </c>
      <c r="O1136" s="139"/>
      <c r="P1136" s="143"/>
      <c r="Q1136" s="39" t="s">
        <v>513</v>
      </c>
      <c r="R1136" s="39"/>
      <c r="S1136" s="39"/>
      <c r="T1136" s="39"/>
      <c r="U1136" s="39"/>
      <c r="V1136" s="39"/>
    </row>
    <row r="1137" spans="1:23">
      <c r="A1137" s="39"/>
      <c r="B1137" s="39" t="s">
        <v>1442</v>
      </c>
      <c r="C1137" s="39" t="s">
        <v>1851</v>
      </c>
      <c r="D1137" s="39" t="s">
        <v>2177</v>
      </c>
      <c r="E1137" s="39" t="s">
        <v>129</v>
      </c>
      <c r="F1137" s="139" t="s">
        <v>2178</v>
      </c>
      <c r="G1137" s="39" t="s">
        <v>2179</v>
      </c>
      <c r="H1137" s="139">
        <v>10</v>
      </c>
      <c r="I1137" s="139" t="s">
        <v>109</v>
      </c>
      <c r="J1137" s="147">
        <v>46157</v>
      </c>
      <c r="K1137" s="139">
        <v>1.5</v>
      </c>
      <c r="L1137" s="142">
        <v>0.01</v>
      </c>
      <c r="M1137" s="139">
        <f t="shared" si="33"/>
        <v>15</v>
      </c>
      <c r="N1137" s="139" t="s">
        <v>519</v>
      </c>
      <c r="O1137" s="139"/>
      <c r="P1137" s="143"/>
      <c r="Q1137" s="39" t="s">
        <v>513</v>
      </c>
      <c r="R1137" s="39"/>
      <c r="S1137" s="39"/>
      <c r="T1137" s="39"/>
      <c r="U1137" s="39"/>
      <c r="V1137" s="39"/>
    </row>
    <row r="1138" spans="1:23">
      <c r="A1138" s="39"/>
      <c r="B1138" s="39" t="s">
        <v>1423</v>
      </c>
      <c r="C1138" s="39" t="s">
        <v>1851</v>
      </c>
      <c r="D1138" s="39" t="s">
        <v>1822</v>
      </c>
      <c r="E1138" s="39" t="s">
        <v>129</v>
      </c>
      <c r="F1138" s="139" t="s">
        <v>2180</v>
      </c>
      <c r="G1138" s="39" t="s">
        <v>2181</v>
      </c>
      <c r="H1138" s="139">
        <v>2</v>
      </c>
      <c r="I1138" s="139" t="s">
        <v>109</v>
      </c>
      <c r="J1138" s="147">
        <v>46157</v>
      </c>
      <c r="K1138" s="139">
        <v>20</v>
      </c>
      <c r="L1138" s="142">
        <v>0.01</v>
      </c>
      <c r="M1138" s="139">
        <f t="shared" si="33"/>
        <v>40</v>
      </c>
      <c r="N1138" s="139" t="s">
        <v>519</v>
      </c>
      <c r="O1138" s="139"/>
      <c r="P1138" s="143"/>
      <c r="Q1138" s="39" t="s">
        <v>513</v>
      </c>
      <c r="R1138" s="39"/>
      <c r="S1138" s="39"/>
      <c r="T1138" s="39"/>
      <c r="U1138" s="39"/>
      <c r="V1138" s="39"/>
    </row>
    <row r="1139" spans="1:23">
      <c r="A1139" s="39"/>
      <c r="B1139" s="39" t="s">
        <v>1423</v>
      </c>
      <c r="C1139" s="39" t="s">
        <v>1851</v>
      </c>
      <c r="D1139" s="39" t="s">
        <v>1822</v>
      </c>
      <c r="E1139" s="39" t="s">
        <v>129</v>
      </c>
      <c r="F1139" s="139" t="s">
        <v>1827</v>
      </c>
      <c r="G1139" s="39" t="s">
        <v>2182</v>
      </c>
      <c r="H1139" s="139">
        <v>2</v>
      </c>
      <c r="I1139" s="139" t="s">
        <v>109</v>
      </c>
      <c r="J1139" s="147">
        <v>46157</v>
      </c>
      <c r="K1139" s="139">
        <v>16.5</v>
      </c>
      <c r="L1139" s="142">
        <v>0.01</v>
      </c>
      <c r="M1139" s="139">
        <f t="shared" si="33"/>
        <v>33</v>
      </c>
      <c r="N1139" s="139" t="s">
        <v>519</v>
      </c>
      <c r="O1139" s="139"/>
      <c r="P1139" s="143"/>
      <c r="Q1139" s="39" t="s">
        <v>513</v>
      </c>
      <c r="R1139" s="39"/>
      <c r="S1139" s="39"/>
      <c r="T1139" s="39"/>
      <c r="U1139" s="39"/>
      <c r="V1139" s="39"/>
    </row>
    <row r="1140" spans="1:23">
      <c r="A1140" s="39"/>
      <c r="B1140" s="39" t="s">
        <v>1423</v>
      </c>
      <c r="C1140" s="39" t="s">
        <v>1851</v>
      </c>
      <c r="D1140" s="39" t="s">
        <v>1822</v>
      </c>
      <c r="E1140" s="39" t="s">
        <v>129</v>
      </c>
      <c r="F1140" s="139" t="s">
        <v>2183</v>
      </c>
      <c r="G1140" s="39" t="s">
        <v>2184</v>
      </c>
      <c r="H1140" s="139">
        <v>7</v>
      </c>
      <c r="I1140" s="139" t="s">
        <v>109</v>
      </c>
      <c r="J1140" s="147">
        <v>46157</v>
      </c>
      <c r="K1140" s="139">
        <v>17.5</v>
      </c>
      <c r="L1140" s="142">
        <v>0.01</v>
      </c>
      <c r="M1140" s="139">
        <f t="shared" si="33"/>
        <v>122.5</v>
      </c>
      <c r="N1140" s="139" t="s">
        <v>519</v>
      </c>
      <c r="O1140" s="139"/>
      <c r="P1140" s="143"/>
      <c r="Q1140" s="39" t="s">
        <v>513</v>
      </c>
      <c r="R1140" s="39"/>
      <c r="S1140" s="39"/>
      <c r="T1140" s="39"/>
      <c r="U1140" s="39"/>
      <c r="V1140" s="39"/>
    </row>
    <row r="1141" spans="1:23">
      <c r="A1141" s="39"/>
      <c r="B1141" s="39" t="s">
        <v>1423</v>
      </c>
      <c r="C1141" s="39" t="s">
        <v>1851</v>
      </c>
      <c r="D1141" s="39" t="s">
        <v>1822</v>
      </c>
      <c r="E1141" s="39" t="s">
        <v>129</v>
      </c>
      <c r="F1141" s="139" t="s">
        <v>538</v>
      </c>
      <c r="G1141" s="39" t="s">
        <v>2185</v>
      </c>
      <c r="H1141" s="139">
        <v>1</v>
      </c>
      <c r="I1141" s="139" t="s">
        <v>109</v>
      </c>
      <c r="J1141" s="147">
        <v>46157</v>
      </c>
      <c r="K1141" s="139">
        <v>42</v>
      </c>
      <c r="L1141" s="142">
        <v>0.01</v>
      </c>
      <c r="M1141" s="139">
        <f t="shared" si="33"/>
        <v>42</v>
      </c>
      <c r="N1141" s="139" t="s">
        <v>519</v>
      </c>
      <c r="O1141" s="139"/>
      <c r="P1141" s="143"/>
      <c r="Q1141" s="39" t="s">
        <v>513</v>
      </c>
      <c r="R1141" s="39"/>
      <c r="S1141" s="39"/>
      <c r="T1141" s="39"/>
      <c r="U1141" s="39"/>
      <c r="V1141" s="39"/>
    </row>
    <row r="1142" spans="1:23">
      <c r="A1142" s="39"/>
      <c r="B1142" s="39" t="s">
        <v>1423</v>
      </c>
      <c r="C1142" s="39" t="s">
        <v>1851</v>
      </c>
      <c r="D1142" s="39" t="s">
        <v>1822</v>
      </c>
      <c r="E1142" s="39" t="s">
        <v>129</v>
      </c>
      <c r="F1142" s="139" t="s">
        <v>2186</v>
      </c>
      <c r="G1142" s="39" t="s">
        <v>2187</v>
      </c>
      <c r="H1142" s="139">
        <v>1</v>
      </c>
      <c r="I1142" s="139" t="s">
        <v>109</v>
      </c>
      <c r="J1142" s="147">
        <v>46157</v>
      </c>
      <c r="K1142" s="139">
        <v>118</v>
      </c>
      <c r="L1142" s="142">
        <v>0.01</v>
      </c>
      <c r="M1142" s="139">
        <f t="shared" si="33"/>
        <v>118</v>
      </c>
      <c r="N1142" s="139" t="s">
        <v>519</v>
      </c>
      <c r="O1142" s="139"/>
      <c r="P1142" s="143"/>
      <c r="Q1142" s="39" t="s">
        <v>513</v>
      </c>
      <c r="R1142" s="39"/>
      <c r="S1142" s="39"/>
      <c r="T1142" s="39"/>
      <c r="U1142" s="39"/>
      <c r="V1142" s="39"/>
    </row>
    <row r="1143" spans="1:23">
      <c r="A1143" s="39"/>
      <c r="B1143" s="39" t="s">
        <v>1493</v>
      </c>
      <c r="C1143" s="39" t="s">
        <v>1851</v>
      </c>
      <c r="D1143" s="39" t="s">
        <v>2188</v>
      </c>
      <c r="E1143" s="39" t="s">
        <v>129</v>
      </c>
      <c r="F1143" s="139" t="s">
        <v>2189</v>
      </c>
      <c r="G1143" s="39" t="s">
        <v>2190</v>
      </c>
      <c r="H1143" s="139">
        <v>2</v>
      </c>
      <c r="I1143" s="139" t="s">
        <v>109</v>
      </c>
      <c r="J1143" s="147">
        <v>46156</v>
      </c>
      <c r="K1143" s="139">
        <v>187</v>
      </c>
      <c r="L1143" s="142">
        <v>0.01</v>
      </c>
      <c r="M1143" s="139">
        <f t="shared" si="33"/>
        <v>374</v>
      </c>
      <c r="N1143" s="139" t="s">
        <v>519</v>
      </c>
      <c r="O1143" s="139"/>
      <c r="P1143" s="143"/>
      <c r="Q1143" s="39" t="s">
        <v>513</v>
      </c>
      <c r="R1143" s="39"/>
      <c r="S1143" s="39"/>
      <c r="T1143" s="39"/>
      <c r="U1143" s="39"/>
      <c r="V1143" s="39"/>
    </row>
    <row r="1144" spans="1:23">
      <c r="A1144" s="39"/>
      <c r="B1144" s="39" t="s">
        <v>1453</v>
      </c>
      <c r="C1144" s="39" t="s">
        <v>1654</v>
      </c>
      <c r="D1144" s="39" t="s">
        <v>2191</v>
      </c>
      <c r="E1144" s="39" t="s">
        <v>129</v>
      </c>
      <c r="F1144" s="139" t="s">
        <v>2192</v>
      </c>
      <c r="G1144" s="39" t="s">
        <v>2193</v>
      </c>
      <c r="H1144" s="139">
        <v>1</v>
      </c>
      <c r="I1144" s="139" t="s">
        <v>109</v>
      </c>
      <c r="J1144" s="147">
        <v>46160</v>
      </c>
      <c r="K1144" s="139">
        <v>2786</v>
      </c>
      <c r="L1144" s="142">
        <v>0.01</v>
      </c>
      <c r="M1144" s="139">
        <f t="shared" si="33"/>
        <v>2786</v>
      </c>
      <c r="N1144" s="139" t="s">
        <v>519</v>
      </c>
      <c r="O1144" s="139"/>
      <c r="P1144" s="143"/>
      <c r="Q1144" s="39" t="s">
        <v>513</v>
      </c>
      <c r="R1144" s="39"/>
      <c r="S1144" s="39"/>
      <c r="T1144" s="39"/>
      <c r="U1144" s="39"/>
      <c r="V1144" s="39"/>
    </row>
    <row r="1145" spans="1:23">
      <c r="A1145" s="39"/>
      <c r="B1145" s="39" t="s">
        <v>1453</v>
      </c>
      <c r="C1145" s="39" t="s">
        <v>1654</v>
      </c>
      <c r="D1145" s="39" t="s">
        <v>2191</v>
      </c>
      <c r="E1145" s="39" t="s">
        <v>129</v>
      </c>
      <c r="F1145" s="139" t="s">
        <v>2194</v>
      </c>
      <c r="G1145" s="39" t="s">
        <v>2195</v>
      </c>
      <c r="H1145" s="139">
        <v>1</v>
      </c>
      <c r="I1145" s="139" t="s">
        <v>109</v>
      </c>
      <c r="J1145" s="147">
        <v>46160</v>
      </c>
      <c r="K1145" s="139">
        <v>2038</v>
      </c>
      <c r="L1145" s="142">
        <v>0.01</v>
      </c>
      <c r="M1145" s="139">
        <f t="shared" si="33"/>
        <v>2038</v>
      </c>
      <c r="N1145" s="139" t="s">
        <v>519</v>
      </c>
      <c r="O1145" s="139"/>
      <c r="P1145" s="143"/>
      <c r="Q1145" s="39" t="s">
        <v>513</v>
      </c>
      <c r="R1145" s="39"/>
      <c r="S1145" s="39"/>
      <c r="T1145" s="39"/>
      <c r="U1145" s="39"/>
      <c r="V1145" s="39"/>
    </row>
    <row r="1146" spans="1:23">
      <c r="A1146" s="39"/>
      <c r="B1146" s="39" t="s">
        <v>1465</v>
      </c>
      <c r="C1146" s="39" t="s">
        <v>1851</v>
      </c>
      <c r="D1146" s="39" t="s">
        <v>2196</v>
      </c>
      <c r="E1146" s="39" t="s">
        <v>129</v>
      </c>
      <c r="F1146" s="139" t="s">
        <v>2197</v>
      </c>
      <c r="G1146" s="39" t="s">
        <v>2198</v>
      </c>
      <c r="H1146" s="139">
        <v>50</v>
      </c>
      <c r="I1146" s="139" t="s">
        <v>131</v>
      </c>
      <c r="J1146" s="147">
        <v>46156</v>
      </c>
      <c r="K1146" s="139">
        <v>16.95</v>
      </c>
      <c r="L1146" s="142">
        <v>0.13</v>
      </c>
      <c r="M1146" s="139">
        <f t="shared" si="33"/>
        <v>847.5</v>
      </c>
      <c r="N1146" s="139" t="s">
        <v>2199</v>
      </c>
      <c r="O1146" s="140">
        <v>46155</v>
      </c>
      <c r="P1146" s="143" t="s">
        <v>2200</v>
      </c>
      <c r="Q1146" s="39" t="s">
        <v>2201</v>
      </c>
      <c r="R1146" s="39"/>
      <c r="S1146" s="39"/>
      <c r="T1146" s="39" t="s">
        <v>2202</v>
      </c>
      <c r="U1146" s="39" t="s">
        <v>2202</v>
      </c>
      <c r="V1146" s="39"/>
      <c r="W1146" s="35" t="s">
        <v>2203</v>
      </c>
    </row>
    <row r="1147" spans="1:23">
      <c r="A1147" s="39"/>
      <c r="B1147" s="39" t="s">
        <v>1465</v>
      </c>
      <c r="C1147" s="39" t="s">
        <v>1851</v>
      </c>
      <c r="D1147" s="39" t="s">
        <v>2196</v>
      </c>
      <c r="E1147" s="39" t="s">
        <v>129</v>
      </c>
      <c r="F1147" s="139" t="s">
        <v>2204</v>
      </c>
      <c r="G1147" s="39" t="s">
        <v>2198</v>
      </c>
      <c r="H1147" s="139">
        <v>50</v>
      </c>
      <c r="I1147" s="139" t="s">
        <v>131</v>
      </c>
      <c r="J1147" s="147">
        <v>46156</v>
      </c>
      <c r="K1147" s="139">
        <v>14.69</v>
      </c>
      <c r="L1147" s="142">
        <v>0.13</v>
      </c>
      <c r="M1147" s="139">
        <f t="shared" si="33"/>
        <v>734.5</v>
      </c>
      <c r="N1147" s="139" t="s">
        <v>2199</v>
      </c>
      <c r="O1147" s="140">
        <v>46155</v>
      </c>
      <c r="P1147" s="143" t="s">
        <v>2200</v>
      </c>
      <c r="Q1147" s="39" t="s">
        <v>2201</v>
      </c>
      <c r="R1147" s="39"/>
      <c r="S1147" s="39"/>
      <c r="T1147" s="39" t="s">
        <v>2202</v>
      </c>
      <c r="U1147" s="39" t="s">
        <v>2202</v>
      </c>
      <c r="V1147" s="39"/>
      <c r="W1147" s="35" t="s">
        <v>2203</v>
      </c>
    </row>
    <row r="1148" spans="1:23">
      <c r="A1148" s="39"/>
      <c r="B1148" s="39" t="s">
        <v>2114</v>
      </c>
      <c r="C1148" s="39" t="s">
        <v>2085</v>
      </c>
      <c r="D1148" s="39" t="s">
        <v>2205</v>
      </c>
      <c r="E1148" s="39" t="s">
        <v>129</v>
      </c>
      <c r="F1148" s="139" t="s">
        <v>2206</v>
      </c>
      <c r="G1148" s="39" t="s">
        <v>2207</v>
      </c>
      <c r="H1148" s="139">
        <v>1</v>
      </c>
      <c r="I1148" s="139" t="s">
        <v>109</v>
      </c>
      <c r="J1148" s="147">
        <v>46157</v>
      </c>
      <c r="K1148" s="139">
        <v>13.5</v>
      </c>
      <c r="L1148" s="142">
        <v>0.01</v>
      </c>
      <c r="M1148" s="139">
        <f t="shared" si="33"/>
        <v>13.5</v>
      </c>
      <c r="N1148" s="139" t="s">
        <v>519</v>
      </c>
      <c r="O1148" s="139"/>
      <c r="P1148" s="143"/>
      <c r="Q1148" s="39" t="s">
        <v>513</v>
      </c>
      <c r="R1148" s="39"/>
      <c r="S1148" s="39"/>
      <c r="T1148" s="39"/>
      <c r="U1148" s="39"/>
      <c r="V1148" s="39"/>
    </row>
    <row r="1149" spans="1:23">
      <c r="A1149" s="39"/>
      <c r="B1149" s="39" t="s">
        <v>2114</v>
      </c>
      <c r="C1149" s="39" t="s">
        <v>2085</v>
      </c>
      <c r="D1149" s="39" t="s">
        <v>2205</v>
      </c>
      <c r="E1149" s="39" t="s">
        <v>129</v>
      </c>
      <c r="F1149" s="139" t="s">
        <v>2208</v>
      </c>
      <c r="G1149" s="39" t="s">
        <v>2207</v>
      </c>
      <c r="H1149" s="139">
        <v>1</v>
      </c>
      <c r="I1149" s="139" t="s">
        <v>109</v>
      </c>
      <c r="J1149" s="147">
        <v>46157</v>
      </c>
      <c r="K1149" s="139">
        <v>13.5</v>
      </c>
      <c r="L1149" s="142">
        <v>0.01</v>
      </c>
      <c r="M1149" s="139">
        <f t="shared" si="33"/>
        <v>13.5</v>
      </c>
      <c r="N1149" s="139" t="s">
        <v>519</v>
      </c>
      <c r="O1149" s="139"/>
      <c r="P1149" s="143"/>
      <c r="Q1149" s="39" t="s">
        <v>513</v>
      </c>
      <c r="R1149" s="39"/>
      <c r="S1149" s="39"/>
      <c r="T1149" s="39"/>
      <c r="U1149" s="39"/>
      <c r="V1149" s="39"/>
    </row>
    <row r="1150" spans="1:23">
      <c r="A1150" s="39"/>
      <c r="B1150" s="39" t="s">
        <v>2114</v>
      </c>
      <c r="C1150" s="39" t="s">
        <v>2085</v>
      </c>
      <c r="D1150" s="39" t="s">
        <v>2205</v>
      </c>
      <c r="E1150" s="39" t="s">
        <v>129</v>
      </c>
      <c r="F1150" s="139" t="s">
        <v>2209</v>
      </c>
      <c r="G1150" s="39" t="s">
        <v>2207</v>
      </c>
      <c r="H1150" s="139">
        <v>1</v>
      </c>
      <c r="I1150" s="139" t="s">
        <v>109</v>
      </c>
      <c r="J1150" s="147">
        <v>46157</v>
      </c>
      <c r="K1150" s="139">
        <v>13.5</v>
      </c>
      <c r="L1150" s="142">
        <v>0.01</v>
      </c>
      <c r="M1150" s="139">
        <f t="shared" si="33"/>
        <v>13.5</v>
      </c>
      <c r="N1150" s="139" t="s">
        <v>519</v>
      </c>
      <c r="O1150" s="139"/>
      <c r="P1150" s="143"/>
      <c r="Q1150" s="39" t="s">
        <v>513</v>
      </c>
      <c r="R1150" s="39"/>
      <c r="S1150" s="39"/>
      <c r="T1150" s="39"/>
      <c r="U1150" s="39"/>
      <c r="V1150" s="39"/>
    </row>
    <row r="1151" spans="1:23">
      <c r="A1151" s="39"/>
      <c r="B1151" s="39" t="s">
        <v>1442</v>
      </c>
      <c r="C1151" s="39" t="s">
        <v>1851</v>
      </c>
      <c r="D1151" s="39" t="s">
        <v>2210</v>
      </c>
      <c r="E1151" s="39" t="s">
        <v>129</v>
      </c>
      <c r="F1151" s="139" t="s">
        <v>2211</v>
      </c>
      <c r="G1151" s="39" t="s">
        <v>2212</v>
      </c>
      <c r="H1151" s="139">
        <v>10</v>
      </c>
      <c r="I1151" s="139" t="s">
        <v>109</v>
      </c>
      <c r="J1151" s="147">
        <v>46157</v>
      </c>
      <c r="K1151" s="139"/>
      <c r="L1151" s="142">
        <v>0.01</v>
      </c>
      <c r="M1151" s="139">
        <f t="shared" si="33"/>
        <v>0</v>
      </c>
      <c r="N1151" s="139" t="s">
        <v>519</v>
      </c>
      <c r="O1151" s="139"/>
      <c r="P1151" s="143"/>
      <c r="Q1151" s="39" t="s">
        <v>513</v>
      </c>
      <c r="R1151" s="39"/>
      <c r="S1151" s="39"/>
      <c r="T1151" s="39"/>
      <c r="U1151" s="39"/>
      <c r="V1151" s="39"/>
    </row>
    <row r="1152" spans="1:23">
      <c r="A1152" s="39"/>
      <c r="B1152" s="39" t="s">
        <v>1442</v>
      </c>
      <c r="C1152" s="39" t="s">
        <v>1851</v>
      </c>
      <c r="D1152" s="39" t="s">
        <v>2210</v>
      </c>
      <c r="E1152" s="39" t="s">
        <v>129</v>
      </c>
      <c r="F1152" s="139" t="s">
        <v>2213</v>
      </c>
      <c r="G1152" s="39" t="s">
        <v>2214</v>
      </c>
      <c r="H1152" s="139">
        <v>1</v>
      </c>
      <c r="I1152" s="139" t="s">
        <v>109</v>
      </c>
      <c r="J1152" s="147">
        <v>46157</v>
      </c>
      <c r="K1152" s="139"/>
      <c r="L1152" s="142">
        <v>0.01</v>
      </c>
      <c r="M1152" s="139">
        <f t="shared" si="33"/>
        <v>0</v>
      </c>
      <c r="N1152" s="139" t="s">
        <v>519</v>
      </c>
      <c r="O1152" s="139"/>
      <c r="P1152" s="143"/>
      <c r="Q1152" s="39" t="s">
        <v>513</v>
      </c>
      <c r="R1152" s="39"/>
      <c r="S1152" s="39"/>
      <c r="T1152" s="39"/>
      <c r="U1152" s="39"/>
      <c r="V1152" s="39"/>
    </row>
    <row r="1153" spans="1:22">
      <c r="A1153" s="39"/>
      <c r="B1153" s="39" t="s">
        <v>1442</v>
      </c>
      <c r="C1153" s="39" t="s">
        <v>1851</v>
      </c>
      <c r="D1153" s="39" t="s">
        <v>2210</v>
      </c>
      <c r="E1153" s="39" t="s">
        <v>129</v>
      </c>
      <c r="F1153" s="139" t="s">
        <v>2215</v>
      </c>
      <c r="G1153" s="39" t="s">
        <v>2216</v>
      </c>
      <c r="H1153" s="139">
        <v>5</v>
      </c>
      <c r="I1153" s="139" t="s">
        <v>109</v>
      </c>
      <c r="J1153" s="147">
        <v>46157</v>
      </c>
      <c r="K1153" s="139"/>
      <c r="L1153" s="142">
        <v>0.01</v>
      </c>
      <c r="M1153" s="139">
        <f t="shared" si="33"/>
        <v>0</v>
      </c>
      <c r="N1153" s="139" t="s">
        <v>519</v>
      </c>
      <c r="O1153" s="139"/>
      <c r="P1153" s="143"/>
      <c r="Q1153" s="39" t="s">
        <v>513</v>
      </c>
      <c r="R1153" s="39"/>
      <c r="S1153" s="39"/>
      <c r="T1153" s="39"/>
      <c r="U1153" s="39"/>
      <c r="V1153" s="39"/>
    </row>
    <row r="1154" spans="1:22">
      <c r="A1154" s="39"/>
      <c r="B1154" s="39" t="s">
        <v>1442</v>
      </c>
      <c r="C1154" s="39" t="s">
        <v>1851</v>
      </c>
      <c r="D1154" s="39" t="s">
        <v>2210</v>
      </c>
      <c r="E1154" s="39" t="s">
        <v>129</v>
      </c>
      <c r="F1154" s="139" t="s">
        <v>2217</v>
      </c>
      <c r="G1154" s="39" t="s">
        <v>2218</v>
      </c>
      <c r="H1154" s="139">
        <v>7</v>
      </c>
      <c r="I1154" s="139" t="s">
        <v>109</v>
      </c>
      <c r="J1154" s="147">
        <v>46157</v>
      </c>
      <c r="K1154" s="139"/>
      <c r="L1154" s="142">
        <v>0.01</v>
      </c>
      <c r="M1154" s="139">
        <f t="shared" si="33"/>
        <v>0</v>
      </c>
      <c r="N1154" s="139" t="s">
        <v>519</v>
      </c>
      <c r="O1154" s="139"/>
      <c r="P1154" s="143"/>
      <c r="Q1154" s="39" t="s">
        <v>513</v>
      </c>
      <c r="R1154" s="39"/>
      <c r="S1154" s="39"/>
      <c r="T1154" s="39"/>
      <c r="U1154" s="39"/>
      <c r="V1154" s="39"/>
    </row>
    <row r="1155" spans="1:22">
      <c r="A1155" s="39"/>
      <c r="B1155" s="39" t="s">
        <v>1442</v>
      </c>
      <c r="C1155" s="39" t="s">
        <v>1851</v>
      </c>
      <c r="D1155" s="39" t="s">
        <v>2219</v>
      </c>
      <c r="E1155" s="39" t="s">
        <v>129</v>
      </c>
      <c r="F1155" s="139" t="s">
        <v>2220</v>
      </c>
      <c r="G1155" s="39" t="s">
        <v>2221</v>
      </c>
      <c r="H1155" s="139">
        <v>1</v>
      </c>
      <c r="I1155" s="139" t="s">
        <v>109</v>
      </c>
      <c r="J1155" s="147">
        <v>46157</v>
      </c>
      <c r="K1155" s="139">
        <v>165</v>
      </c>
      <c r="L1155" s="142">
        <v>0.01</v>
      </c>
      <c r="M1155" s="139">
        <f t="shared" si="33"/>
        <v>165</v>
      </c>
      <c r="N1155" s="139" t="s">
        <v>519</v>
      </c>
      <c r="O1155" s="139"/>
      <c r="P1155" s="143"/>
      <c r="Q1155" s="39" t="s">
        <v>513</v>
      </c>
      <c r="R1155" s="39"/>
      <c r="S1155" s="39"/>
      <c r="T1155" s="39"/>
      <c r="U1155" s="39"/>
      <c r="V1155" s="39"/>
    </row>
    <row r="1156" spans="1:22">
      <c r="A1156" s="39"/>
      <c r="B1156" s="39"/>
      <c r="C1156" s="39" t="s">
        <v>2222</v>
      </c>
      <c r="D1156" s="39"/>
      <c r="E1156" s="39" t="s">
        <v>129</v>
      </c>
      <c r="F1156" s="139" t="s">
        <v>1918</v>
      </c>
      <c r="G1156" s="39" t="s">
        <v>1919</v>
      </c>
      <c r="H1156" s="139">
        <v>5</v>
      </c>
      <c r="I1156" s="39" t="s">
        <v>109</v>
      </c>
      <c r="J1156" s="147">
        <v>46157</v>
      </c>
      <c r="K1156" s="139">
        <v>4.42</v>
      </c>
      <c r="L1156" s="142">
        <v>0.13</v>
      </c>
      <c r="M1156" s="139">
        <f t="shared" ref="M1156:M1158" si="34">K1156*H1156</f>
        <v>22.1</v>
      </c>
      <c r="N1156" s="139" t="s">
        <v>1920</v>
      </c>
      <c r="O1156" s="140">
        <v>46156</v>
      </c>
      <c r="P1156" s="143" t="s">
        <v>2223</v>
      </c>
      <c r="Q1156" s="39" t="s">
        <v>513</v>
      </c>
      <c r="R1156" s="39"/>
      <c r="S1156" s="39"/>
      <c r="T1156" s="39"/>
      <c r="U1156" s="39"/>
      <c r="V1156" s="39"/>
    </row>
    <row r="1157" spans="1:22">
      <c r="A1157" s="39"/>
      <c r="B1157" s="39"/>
      <c r="C1157" s="39" t="s">
        <v>2222</v>
      </c>
      <c r="D1157" s="39"/>
      <c r="E1157" s="39" t="s">
        <v>129</v>
      </c>
      <c r="F1157" s="139" t="s">
        <v>1922</v>
      </c>
      <c r="G1157" s="39" t="s">
        <v>1923</v>
      </c>
      <c r="H1157" s="139">
        <v>5</v>
      </c>
      <c r="I1157" s="39" t="s">
        <v>109</v>
      </c>
      <c r="J1157" s="147">
        <v>46157</v>
      </c>
      <c r="K1157" s="139">
        <v>4.42</v>
      </c>
      <c r="L1157" s="142">
        <v>0.13</v>
      </c>
      <c r="M1157" s="139">
        <f t="shared" si="34"/>
        <v>22.1</v>
      </c>
      <c r="N1157" s="139" t="s">
        <v>1920</v>
      </c>
      <c r="O1157" s="140">
        <v>46156</v>
      </c>
      <c r="P1157" s="143" t="s">
        <v>2223</v>
      </c>
      <c r="Q1157" s="39" t="s">
        <v>513</v>
      </c>
      <c r="R1157" s="39"/>
      <c r="S1157" s="39"/>
      <c r="T1157" s="39"/>
      <c r="U1157" s="39"/>
      <c r="V1157" s="39"/>
    </row>
    <row r="1158" spans="1:22">
      <c r="A1158" s="39"/>
      <c r="B1158" s="39"/>
      <c r="C1158" s="39" t="s">
        <v>2222</v>
      </c>
      <c r="D1158" s="39"/>
      <c r="E1158" s="39" t="s">
        <v>129</v>
      </c>
      <c r="F1158" s="139" t="s">
        <v>1924</v>
      </c>
      <c r="G1158" s="39" t="s">
        <v>1925</v>
      </c>
      <c r="H1158" s="139">
        <v>5</v>
      </c>
      <c r="I1158" s="39" t="s">
        <v>109</v>
      </c>
      <c r="J1158" s="147">
        <v>46157</v>
      </c>
      <c r="K1158" s="139">
        <v>4.65</v>
      </c>
      <c r="L1158" s="142">
        <v>0.13</v>
      </c>
      <c r="M1158" s="139">
        <f t="shared" si="34"/>
        <v>23.25</v>
      </c>
      <c r="N1158" s="139" t="s">
        <v>1920</v>
      </c>
      <c r="O1158" s="140">
        <v>46156</v>
      </c>
      <c r="P1158" s="143" t="s">
        <v>2223</v>
      </c>
      <c r="Q1158" s="39" t="s">
        <v>513</v>
      </c>
      <c r="R1158" s="39"/>
      <c r="S1158" s="39"/>
      <c r="T1158" s="39"/>
      <c r="U1158" s="39"/>
      <c r="V1158" s="39"/>
    </row>
    <row r="1159" ht="33" spans="1:22">
      <c r="A1159" s="39"/>
      <c r="B1159" s="39" t="s">
        <v>1442</v>
      </c>
      <c r="C1159" s="39" t="s">
        <v>1851</v>
      </c>
      <c r="D1159" s="39" t="s">
        <v>2107</v>
      </c>
      <c r="E1159" s="39" t="s">
        <v>129</v>
      </c>
      <c r="F1159" s="139" t="s">
        <v>1108</v>
      </c>
      <c r="G1159" s="187" t="s">
        <v>2224</v>
      </c>
      <c r="H1159" s="139">
        <v>30</v>
      </c>
      <c r="I1159" s="39" t="s">
        <v>109</v>
      </c>
      <c r="J1159" s="147">
        <v>46157</v>
      </c>
      <c r="K1159" s="139"/>
      <c r="L1159" s="142">
        <v>0.01</v>
      </c>
      <c r="M1159" s="139">
        <f t="shared" si="33"/>
        <v>0</v>
      </c>
      <c r="N1159" s="139" t="s">
        <v>519</v>
      </c>
      <c r="O1159" s="139"/>
      <c r="P1159" s="143"/>
      <c r="Q1159" s="39" t="s">
        <v>513</v>
      </c>
      <c r="R1159" s="39"/>
      <c r="S1159" s="39"/>
      <c r="T1159" s="39"/>
      <c r="U1159" s="39"/>
      <c r="V1159" s="39"/>
    </row>
    <row r="1160" spans="1:22">
      <c r="A1160" s="39" t="s">
        <v>2225</v>
      </c>
      <c r="B1160" s="39" t="s">
        <v>1442</v>
      </c>
      <c r="C1160" s="39" t="s">
        <v>1851</v>
      </c>
      <c r="D1160" s="39" t="s">
        <v>2107</v>
      </c>
      <c r="E1160" s="39" t="s">
        <v>129</v>
      </c>
      <c r="F1160" s="139" t="s">
        <v>2226</v>
      </c>
      <c r="G1160" s="39" t="s">
        <v>2227</v>
      </c>
      <c r="H1160" s="139">
        <v>34</v>
      </c>
      <c r="I1160" s="39" t="s">
        <v>109</v>
      </c>
      <c r="J1160" s="147">
        <v>46157</v>
      </c>
      <c r="K1160" s="139"/>
      <c r="L1160" s="142">
        <v>0.01</v>
      </c>
      <c r="M1160" s="139">
        <f t="shared" si="33"/>
        <v>0</v>
      </c>
      <c r="N1160" s="139" t="s">
        <v>519</v>
      </c>
      <c r="O1160" s="139"/>
      <c r="P1160" s="143"/>
      <c r="Q1160" s="39" t="s">
        <v>513</v>
      </c>
      <c r="R1160" s="39"/>
      <c r="S1160" s="39"/>
      <c r="T1160" s="39"/>
      <c r="U1160" s="39"/>
      <c r="V1160" s="39"/>
    </row>
    <row r="1161" spans="1:22">
      <c r="A1161" s="39"/>
      <c r="B1161" s="39"/>
      <c r="C1161" s="39"/>
      <c r="D1161" s="39"/>
      <c r="E1161" s="139"/>
      <c r="F1161" s="139"/>
      <c r="G1161" s="39"/>
      <c r="H1161" s="139"/>
      <c r="I1161" s="139"/>
      <c r="J1161" s="39"/>
      <c r="K1161" s="139"/>
      <c r="L1161" s="39"/>
      <c r="M1161" s="139">
        <f t="shared" si="33"/>
        <v>0</v>
      </c>
      <c r="N1161" s="139"/>
      <c r="O1161" s="139"/>
      <c r="P1161" s="143"/>
      <c r="Q1161" s="39" t="s">
        <v>513</v>
      </c>
      <c r="R1161" s="39"/>
      <c r="S1161" s="39"/>
      <c r="T1161" s="39"/>
      <c r="U1161" s="39"/>
      <c r="V1161" s="39"/>
    </row>
    <row r="1162" spans="1:22">
      <c r="A1162" s="39"/>
      <c r="B1162" s="39"/>
      <c r="C1162" s="39"/>
      <c r="D1162" s="39"/>
      <c r="E1162" s="139"/>
      <c r="F1162" s="139"/>
      <c r="G1162" s="39"/>
      <c r="H1162" s="139"/>
      <c r="I1162" s="139"/>
      <c r="J1162" s="39"/>
      <c r="K1162" s="139"/>
      <c r="L1162" s="39"/>
      <c r="M1162" s="139">
        <f t="shared" si="33"/>
        <v>0</v>
      </c>
      <c r="N1162" s="139"/>
      <c r="O1162" s="139"/>
      <c r="P1162" s="143"/>
      <c r="Q1162" s="39" t="s">
        <v>513</v>
      </c>
      <c r="R1162" s="39"/>
      <c r="S1162" s="39"/>
      <c r="T1162" s="39"/>
      <c r="U1162" s="39"/>
      <c r="V1162" s="39"/>
    </row>
    <row r="1163" spans="1:22">
      <c r="A1163" s="39"/>
      <c r="B1163" s="39"/>
      <c r="C1163" s="39"/>
      <c r="D1163" s="39"/>
      <c r="E1163" s="139"/>
      <c r="F1163" s="139"/>
      <c r="G1163" s="39"/>
      <c r="H1163" s="139"/>
      <c r="I1163" s="139"/>
      <c r="J1163" s="39"/>
      <c r="K1163" s="139"/>
      <c r="L1163" s="39"/>
      <c r="M1163" s="139">
        <f t="shared" ref="M1163:M1226" si="35">K1163*H1163</f>
        <v>0</v>
      </c>
      <c r="N1163" s="139"/>
      <c r="O1163" s="139"/>
      <c r="P1163" s="143"/>
      <c r="Q1163" s="39" t="s">
        <v>513</v>
      </c>
      <c r="R1163" s="39"/>
      <c r="S1163" s="39"/>
      <c r="T1163" s="39"/>
      <c r="U1163" s="39"/>
      <c r="V1163" s="39"/>
    </row>
    <row r="1164" spans="1:22">
      <c r="A1164" s="39"/>
      <c r="B1164" s="39"/>
      <c r="C1164" s="39"/>
      <c r="D1164" s="39"/>
      <c r="E1164" s="139"/>
      <c r="F1164" s="139"/>
      <c r="G1164" s="39"/>
      <c r="H1164" s="139"/>
      <c r="I1164" s="139"/>
      <c r="J1164" s="39"/>
      <c r="K1164" s="139"/>
      <c r="L1164" s="39"/>
      <c r="M1164" s="139">
        <f t="shared" si="35"/>
        <v>0</v>
      </c>
      <c r="N1164" s="139"/>
      <c r="O1164" s="139"/>
      <c r="P1164" s="143"/>
      <c r="Q1164" s="39" t="s">
        <v>513</v>
      </c>
      <c r="R1164" s="39"/>
      <c r="S1164" s="39"/>
      <c r="T1164" s="39"/>
      <c r="U1164" s="39"/>
      <c r="V1164" s="39"/>
    </row>
    <row r="1165" spans="1:22">
      <c r="A1165" s="39"/>
      <c r="B1165" s="39"/>
      <c r="C1165" s="39"/>
      <c r="D1165" s="39"/>
      <c r="E1165" s="139"/>
      <c r="F1165" s="139"/>
      <c r="G1165" s="39"/>
      <c r="H1165" s="139"/>
      <c r="I1165" s="139"/>
      <c r="J1165" s="39"/>
      <c r="K1165" s="139"/>
      <c r="L1165" s="39"/>
      <c r="M1165" s="139">
        <f t="shared" si="35"/>
        <v>0</v>
      </c>
      <c r="N1165" s="139"/>
      <c r="O1165" s="139"/>
      <c r="P1165" s="143"/>
      <c r="Q1165" s="39" t="s">
        <v>513</v>
      </c>
      <c r="R1165" s="39"/>
      <c r="S1165" s="39"/>
      <c r="T1165" s="39"/>
      <c r="U1165" s="39"/>
      <c r="V1165" s="39"/>
    </row>
    <row r="1166" spans="1:22">
      <c r="A1166" s="39"/>
      <c r="B1166" s="39"/>
      <c r="C1166" s="39"/>
      <c r="D1166" s="39"/>
      <c r="E1166" s="139"/>
      <c r="F1166" s="139"/>
      <c r="G1166" s="39"/>
      <c r="H1166" s="139"/>
      <c r="I1166" s="139"/>
      <c r="J1166" s="39"/>
      <c r="K1166" s="139"/>
      <c r="L1166" s="39"/>
      <c r="M1166" s="139">
        <f t="shared" si="35"/>
        <v>0</v>
      </c>
      <c r="N1166" s="139"/>
      <c r="O1166" s="139"/>
      <c r="P1166" s="143"/>
      <c r="Q1166" s="39" t="s">
        <v>513</v>
      </c>
      <c r="R1166" s="39"/>
      <c r="S1166" s="39"/>
      <c r="T1166" s="39"/>
      <c r="U1166" s="39"/>
      <c r="V1166" s="39"/>
    </row>
    <row r="1167" spans="1:22">
      <c r="A1167" s="39"/>
      <c r="B1167" s="39"/>
      <c r="C1167" s="39"/>
      <c r="D1167" s="39"/>
      <c r="E1167" s="139"/>
      <c r="F1167" s="139"/>
      <c r="G1167" s="39"/>
      <c r="H1167" s="139"/>
      <c r="I1167" s="139"/>
      <c r="J1167" s="39"/>
      <c r="K1167" s="139"/>
      <c r="L1167" s="39"/>
      <c r="M1167" s="139">
        <f t="shared" si="35"/>
        <v>0</v>
      </c>
      <c r="N1167" s="139"/>
      <c r="O1167" s="139"/>
      <c r="P1167" s="143"/>
      <c r="Q1167" s="39" t="s">
        <v>513</v>
      </c>
      <c r="R1167" s="39"/>
      <c r="S1167" s="39"/>
      <c r="T1167" s="39"/>
      <c r="U1167" s="39"/>
      <c r="V1167" s="39"/>
    </row>
    <row r="1168" spans="1:22">
      <c r="A1168" s="39"/>
      <c r="B1168" s="39"/>
      <c r="C1168" s="39"/>
      <c r="D1168" s="39"/>
      <c r="E1168" s="139"/>
      <c r="F1168" s="139"/>
      <c r="G1168" s="39"/>
      <c r="H1168" s="139"/>
      <c r="I1168" s="139"/>
      <c r="J1168" s="39"/>
      <c r="K1168" s="139"/>
      <c r="L1168" s="39"/>
      <c r="M1168" s="139">
        <f t="shared" si="35"/>
        <v>0</v>
      </c>
      <c r="N1168" s="139"/>
      <c r="O1168" s="139"/>
      <c r="P1168" s="143"/>
      <c r="Q1168" s="39" t="s">
        <v>513</v>
      </c>
      <c r="R1168" s="39"/>
      <c r="S1168" s="39"/>
      <c r="T1168" s="39"/>
      <c r="U1168" s="39"/>
      <c r="V1168" s="39"/>
    </row>
    <row r="1169" spans="1:22">
      <c r="A1169" s="39"/>
      <c r="B1169" s="39"/>
      <c r="C1169" s="39"/>
      <c r="D1169" s="39"/>
      <c r="E1169" s="139"/>
      <c r="F1169" s="139"/>
      <c r="G1169" s="39"/>
      <c r="H1169" s="139"/>
      <c r="I1169" s="139"/>
      <c r="J1169" s="39"/>
      <c r="K1169" s="139"/>
      <c r="L1169" s="39"/>
      <c r="M1169" s="139">
        <f t="shared" si="35"/>
        <v>0</v>
      </c>
      <c r="N1169" s="139"/>
      <c r="O1169" s="139"/>
      <c r="P1169" s="143"/>
      <c r="Q1169" s="39" t="s">
        <v>513</v>
      </c>
      <c r="R1169" s="39"/>
      <c r="S1169" s="39"/>
      <c r="T1169" s="39"/>
      <c r="U1169" s="39"/>
      <c r="V1169" s="39"/>
    </row>
    <row r="1170" spans="1:22">
      <c r="A1170" s="39"/>
      <c r="B1170" s="39"/>
      <c r="C1170" s="39"/>
      <c r="D1170" s="39"/>
      <c r="E1170" s="139"/>
      <c r="F1170" s="139"/>
      <c r="G1170" s="39"/>
      <c r="H1170" s="139"/>
      <c r="I1170" s="139"/>
      <c r="J1170" s="39"/>
      <c r="K1170" s="139"/>
      <c r="L1170" s="39"/>
      <c r="M1170" s="139">
        <f t="shared" si="35"/>
        <v>0</v>
      </c>
      <c r="N1170" s="139"/>
      <c r="O1170" s="139"/>
      <c r="P1170" s="143"/>
      <c r="Q1170" s="39" t="s">
        <v>513</v>
      </c>
      <c r="R1170" s="39"/>
      <c r="S1170" s="39"/>
      <c r="T1170" s="39"/>
      <c r="U1170" s="39"/>
      <c r="V1170" s="39"/>
    </row>
    <row r="1171" spans="1:22">
      <c r="A1171" s="39"/>
      <c r="B1171" s="39"/>
      <c r="C1171" s="39"/>
      <c r="D1171" s="39"/>
      <c r="E1171" s="139"/>
      <c r="F1171" s="139"/>
      <c r="G1171" s="39"/>
      <c r="H1171" s="139"/>
      <c r="I1171" s="139"/>
      <c r="J1171" s="39"/>
      <c r="K1171" s="139"/>
      <c r="L1171" s="39"/>
      <c r="M1171" s="139">
        <f t="shared" si="35"/>
        <v>0</v>
      </c>
      <c r="N1171" s="139"/>
      <c r="O1171" s="139"/>
      <c r="P1171" s="143"/>
      <c r="Q1171" s="39" t="s">
        <v>513</v>
      </c>
      <c r="R1171" s="39"/>
      <c r="S1171" s="39"/>
      <c r="T1171" s="39"/>
      <c r="U1171" s="39"/>
      <c r="V1171" s="39"/>
    </row>
    <row r="1172" spans="1:22">
      <c r="A1172" s="39"/>
      <c r="B1172" s="39"/>
      <c r="C1172" s="39"/>
      <c r="D1172" s="39"/>
      <c r="E1172" s="139"/>
      <c r="F1172" s="139"/>
      <c r="G1172" s="39"/>
      <c r="H1172" s="139"/>
      <c r="I1172" s="139"/>
      <c r="J1172" s="39"/>
      <c r="K1172" s="139"/>
      <c r="L1172" s="39"/>
      <c r="M1172" s="139">
        <f t="shared" si="35"/>
        <v>0</v>
      </c>
      <c r="N1172" s="139"/>
      <c r="O1172" s="139"/>
      <c r="P1172" s="143"/>
      <c r="Q1172" s="39" t="s">
        <v>513</v>
      </c>
      <c r="R1172" s="39"/>
      <c r="S1172" s="39"/>
      <c r="T1172" s="39"/>
      <c r="U1172" s="39"/>
      <c r="V1172" s="39"/>
    </row>
    <row r="1173" spans="1:22">
      <c r="A1173" s="39"/>
      <c r="B1173" s="39"/>
      <c r="C1173" s="39"/>
      <c r="D1173" s="39"/>
      <c r="E1173" s="139"/>
      <c r="F1173" s="139"/>
      <c r="G1173" s="39"/>
      <c r="H1173" s="139"/>
      <c r="I1173" s="139"/>
      <c r="J1173" s="39"/>
      <c r="K1173" s="139"/>
      <c r="L1173" s="39"/>
      <c r="M1173" s="139">
        <f t="shared" si="35"/>
        <v>0</v>
      </c>
      <c r="N1173" s="139"/>
      <c r="O1173" s="139"/>
      <c r="P1173" s="143"/>
      <c r="Q1173" s="39" t="s">
        <v>513</v>
      </c>
      <c r="R1173" s="39"/>
      <c r="S1173" s="39"/>
      <c r="T1173" s="39"/>
      <c r="U1173" s="39"/>
      <c r="V1173" s="39"/>
    </row>
    <row r="1174" spans="1:22">
      <c r="A1174" s="39"/>
      <c r="B1174" s="39"/>
      <c r="C1174" s="39"/>
      <c r="D1174" s="39"/>
      <c r="E1174" s="139"/>
      <c r="F1174" s="139"/>
      <c r="G1174" s="39"/>
      <c r="H1174" s="139"/>
      <c r="I1174" s="139"/>
      <c r="J1174" s="39"/>
      <c r="K1174" s="139"/>
      <c r="L1174" s="39"/>
      <c r="M1174" s="139">
        <f t="shared" si="35"/>
        <v>0</v>
      </c>
      <c r="N1174" s="139"/>
      <c r="O1174" s="139"/>
      <c r="P1174" s="143"/>
      <c r="Q1174" s="39" t="s">
        <v>513</v>
      </c>
      <c r="R1174" s="39"/>
      <c r="S1174" s="39"/>
      <c r="T1174" s="39"/>
      <c r="U1174" s="39"/>
      <c r="V1174" s="39"/>
    </row>
    <row r="1175" spans="1:22">
      <c r="A1175" s="39"/>
      <c r="B1175" s="39"/>
      <c r="C1175" s="39"/>
      <c r="D1175" s="39"/>
      <c r="E1175" s="139"/>
      <c r="F1175" s="139"/>
      <c r="G1175" s="39"/>
      <c r="H1175" s="139"/>
      <c r="I1175" s="139"/>
      <c r="J1175" s="39"/>
      <c r="K1175" s="139"/>
      <c r="L1175" s="39"/>
      <c r="M1175" s="139">
        <f t="shared" si="35"/>
        <v>0</v>
      </c>
      <c r="N1175" s="139"/>
      <c r="O1175" s="139"/>
      <c r="P1175" s="143"/>
      <c r="Q1175" s="39" t="s">
        <v>513</v>
      </c>
      <c r="R1175" s="39"/>
      <c r="S1175" s="39"/>
      <c r="T1175" s="39"/>
      <c r="U1175" s="39"/>
      <c r="V1175" s="39"/>
    </row>
    <row r="1176" spans="1:22">
      <c r="A1176" s="39"/>
      <c r="B1176" s="39"/>
      <c r="C1176" s="39"/>
      <c r="D1176" s="39"/>
      <c r="E1176" s="139"/>
      <c r="F1176" s="139"/>
      <c r="G1176" s="39"/>
      <c r="H1176" s="139"/>
      <c r="I1176" s="139"/>
      <c r="J1176" s="39"/>
      <c r="K1176" s="139"/>
      <c r="L1176" s="39"/>
      <c r="M1176" s="139">
        <f t="shared" si="35"/>
        <v>0</v>
      </c>
      <c r="N1176" s="139"/>
      <c r="O1176" s="139"/>
      <c r="P1176" s="143"/>
      <c r="Q1176" s="39" t="s">
        <v>513</v>
      </c>
      <c r="R1176" s="39"/>
      <c r="S1176" s="39"/>
      <c r="T1176" s="39"/>
      <c r="U1176" s="39"/>
      <c r="V1176" s="39"/>
    </row>
    <row r="1177" spans="1:22">
      <c r="A1177" s="39"/>
      <c r="B1177" s="39"/>
      <c r="C1177" s="39"/>
      <c r="D1177" s="39"/>
      <c r="E1177" s="139"/>
      <c r="F1177" s="139"/>
      <c r="G1177" s="39"/>
      <c r="H1177" s="139"/>
      <c r="I1177" s="139"/>
      <c r="J1177" s="39"/>
      <c r="K1177" s="139"/>
      <c r="L1177" s="39"/>
      <c r="M1177" s="139">
        <f t="shared" si="35"/>
        <v>0</v>
      </c>
      <c r="N1177" s="139"/>
      <c r="O1177" s="139"/>
      <c r="P1177" s="143"/>
      <c r="Q1177" s="39" t="s">
        <v>513</v>
      </c>
      <c r="R1177" s="39"/>
      <c r="S1177" s="39"/>
      <c r="T1177" s="39"/>
      <c r="U1177" s="39"/>
      <c r="V1177" s="39"/>
    </row>
    <row r="1178" spans="1:22">
      <c r="A1178" s="39"/>
      <c r="B1178" s="39"/>
      <c r="C1178" s="39"/>
      <c r="D1178" s="39"/>
      <c r="E1178" s="139"/>
      <c r="F1178" s="139"/>
      <c r="G1178" s="39"/>
      <c r="H1178" s="139"/>
      <c r="I1178" s="139"/>
      <c r="J1178" s="39"/>
      <c r="K1178" s="139"/>
      <c r="L1178" s="39"/>
      <c r="M1178" s="139">
        <f t="shared" si="35"/>
        <v>0</v>
      </c>
      <c r="N1178" s="139"/>
      <c r="O1178" s="139"/>
      <c r="P1178" s="143"/>
      <c r="Q1178" s="39" t="s">
        <v>513</v>
      </c>
      <c r="R1178" s="39"/>
      <c r="S1178" s="39"/>
      <c r="T1178" s="39"/>
      <c r="U1178" s="39"/>
      <c r="V1178" s="39"/>
    </row>
    <row r="1179" spans="1:22">
      <c r="A1179" s="39"/>
      <c r="B1179" s="39"/>
      <c r="C1179" s="39"/>
      <c r="D1179" s="39"/>
      <c r="E1179" s="139"/>
      <c r="F1179" s="139"/>
      <c r="G1179" s="39"/>
      <c r="H1179" s="139"/>
      <c r="I1179" s="139"/>
      <c r="J1179" s="39"/>
      <c r="K1179" s="139"/>
      <c r="L1179" s="39"/>
      <c r="M1179" s="139">
        <f t="shared" si="35"/>
        <v>0</v>
      </c>
      <c r="N1179" s="139"/>
      <c r="O1179" s="139"/>
      <c r="P1179" s="143"/>
      <c r="Q1179" s="39" t="s">
        <v>513</v>
      </c>
      <c r="R1179" s="39"/>
      <c r="S1179" s="39"/>
      <c r="T1179" s="39"/>
      <c r="U1179" s="39"/>
      <c r="V1179" s="39"/>
    </row>
    <row r="1180" spans="1:22">
      <c r="A1180" s="39"/>
      <c r="B1180" s="39"/>
      <c r="C1180" s="39"/>
      <c r="D1180" s="39"/>
      <c r="E1180" s="139"/>
      <c r="F1180" s="139"/>
      <c r="G1180" s="39"/>
      <c r="H1180" s="139"/>
      <c r="I1180" s="139"/>
      <c r="J1180" s="39"/>
      <c r="K1180" s="139"/>
      <c r="L1180" s="39"/>
      <c r="M1180" s="139">
        <f t="shared" si="35"/>
        <v>0</v>
      </c>
      <c r="N1180" s="139"/>
      <c r="O1180" s="139"/>
      <c r="P1180" s="143"/>
      <c r="Q1180" s="39" t="s">
        <v>513</v>
      </c>
      <c r="R1180" s="39"/>
      <c r="S1180" s="39"/>
      <c r="T1180" s="39"/>
      <c r="U1180" s="39"/>
      <c r="V1180" s="39"/>
    </row>
    <row r="1181" spans="1:22">
      <c r="A1181" s="39"/>
      <c r="B1181" s="39"/>
      <c r="C1181" s="39"/>
      <c r="D1181" s="39"/>
      <c r="E1181" s="139"/>
      <c r="F1181" s="139"/>
      <c r="G1181" s="39"/>
      <c r="H1181" s="139"/>
      <c r="I1181" s="139"/>
      <c r="J1181" s="39"/>
      <c r="K1181" s="139"/>
      <c r="L1181" s="39"/>
      <c r="M1181" s="139">
        <f t="shared" si="35"/>
        <v>0</v>
      </c>
      <c r="N1181" s="139"/>
      <c r="O1181" s="139"/>
      <c r="P1181" s="143"/>
      <c r="Q1181" s="39" t="s">
        <v>513</v>
      </c>
      <c r="R1181" s="39"/>
      <c r="S1181" s="39"/>
      <c r="T1181" s="39"/>
      <c r="U1181" s="39"/>
      <c r="V1181" s="39"/>
    </row>
    <row r="1182" spans="1:22">
      <c r="A1182" s="39"/>
      <c r="B1182" s="39"/>
      <c r="C1182" s="39"/>
      <c r="D1182" s="39"/>
      <c r="E1182" s="139"/>
      <c r="F1182" s="139"/>
      <c r="G1182" s="39"/>
      <c r="H1182" s="139"/>
      <c r="I1182" s="139"/>
      <c r="J1182" s="39"/>
      <c r="K1182" s="139"/>
      <c r="L1182" s="39"/>
      <c r="M1182" s="139">
        <f t="shared" si="35"/>
        <v>0</v>
      </c>
      <c r="N1182" s="139"/>
      <c r="O1182" s="139"/>
      <c r="P1182" s="143"/>
      <c r="Q1182" s="39" t="s">
        <v>513</v>
      </c>
      <c r="R1182" s="39"/>
      <c r="S1182" s="39"/>
      <c r="T1182" s="39"/>
      <c r="U1182" s="39"/>
      <c r="V1182" s="39"/>
    </row>
    <row r="1183" spans="1:22">
      <c r="A1183" s="39"/>
      <c r="B1183" s="39"/>
      <c r="C1183" s="39"/>
      <c r="D1183" s="39"/>
      <c r="E1183" s="139"/>
      <c r="F1183" s="139"/>
      <c r="G1183" s="39"/>
      <c r="H1183" s="139"/>
      <c r="I1183" s="139"/>
      <c r="J1183" s="39"/>
      <c r="K1183" s="139"/>
      <c r="L1183" s="39"/>
      <c r="M1183" s="139">
        <f t="shared" si="35"/>
        <v>0</v>
      </c>
      <c r="N1183" s="139"/>
      <c r="O1183" s="139"/>
      <c r="P1183" s="143"/>
      <c r="Q1183" s="39" t="s">
        <v>513</v>
      </c>
      <c r="R1183" s="39"/>
      <c r="S1183" s="39"/>
      <c r="T1183" s="39"/>
      <c r="U1183" s="39"/>
      <c r="V1183" s="39"/>
    </row>
    <row r="1184" spans="1:22">
      <c r="A1184" s="39"/>
      <c r="B1184" s="39"/>
      <c r="C1184" s="39"/>
      <c r="D1184" s="39"/>
      <c r="E1184" s="139"/>
      <c r="F1184" s="139"/>
      <c r="G1184" s="39"/>
      <c r="H1184" s="139"/>
      <c r="I1184" s="139"/>
      <c r="J1184" s="39"/>
      <c r="K1184" s="139"/>
      <c r="L1184" s="39"/>
      <c r="M1184" s="139">
        <f t="shared" si="35"/>
        <v>0</v>
      </c>
      <c r="N1184" s="139"/>
      <c r="O1184" s="139"/>
      <c r="P1184" s="143"/>
      <c r="Q1184" s="39" t="s">
        <v>513</v>
      </c>
      <c r="R1184" s="39"/>
      <c r="S1184" s="39"/>
      <c r="T1184" s="39"/>
      <c r="U1184" s="39"/>
      <c r="V1184" s="39"/>
    </row>
    <row r="1185" spans="1:22">
      <c r="A1185" s="39"/>
      <c r="B1185" s="39"/>
      <c r="C1185" s="39"/>
      <c r="D1185" s="39"/>
      <c r="E1185" s="139"/>
      <c r="F1185" s="139"/>
      <c r="G1185" s="39"/>
      <c r="H1185" s="139"/>
      <c r="I1185" s="139"/>
      <c r="J1185" s="39"/>
      <c r="K1185" s="139"/>
      <c r="L1185" s="39"/>
      <c r="M1185" s="139">
        <f t="shared" si="35"/>
        <v>0</v>
      </c>
      <c r="N1185" s="139"/>
      <c r="O1185" s="139"/>
      <c r="P1185" s="143"/>
      <c r="Q1185" s="39" t="s">
        <v>513</v>
      </c>
      <c r="R1185" s="39"/>
      <c r="S1185" s="39"/>
      <c r="T1185" s="39"/>
      <c r="U1185" s="39"/>
      <c r="V1185" s="39"/>
    </row>
    <row r="1186" spans="1:22">
      <c r="A1186" s="39"/>
      <c r="B1186" s="39"/>
      <c r="C1186" s="39"/>
      <c r="D1186" s="39"/>
      <c r="E1186" s="139"/>
      <c r="F1186" s="139"/>
      <c r="G1186" s="39"/>
      <c r="H1186" s="139"/>
      <c r="I1186" s="139"/>
      <c r="J1186" s="39"/>
      <c r="K1186" s="139"/>
      <c r="L1186" s="39"/>
      <c r="M1186" s="139">
        <f t="shared" si="35"/>
        <v>0</v>
      </c>
      <c r="N1186" s="139"/>
      <c r="O1186" s="139"/>
      <c r="P1186" s="143"/>
      <c r="Q1186" s="39" t="s">
        <v>513</v>
      </c>
      <c r="R1186" s="39"/>
      <c r="S1186" s="39"/>
      <c r="T1186" s="39"/>
      <c r="U1186" s="39"/>
      <c r="V1186" s="39"/>
    </row>
    <row r="1187" spans="1:22">
      <c r="A1187" s="39"/>
      <c r="B1187" s="39"/>
      <c r="C1187" s="39"/>
      <c r="D1187" s="39"/>
      <c r="E1187" s="139"/>
      <c r="F1187" s="139"/>
      <c r="G1187" s="39"/>
      <c r="H1187" s="139"/>
      <c r="I1187" s="139"/>
      <c r="J1187" s="39"/>
      <c r="K1187" s="139"/>
      <c r="L1187" s="39"/>
      <c r="M1187" s="139">
        <f t="shared" si="35"/>
        <v>0</v>
      </c>
      <c r="N1187" s="139"/>
      <c r="O1187" s="139"/>
      <c r="P1187" s="143"/>
      <c r="Q1187" s="39" t="s">
        <v>513</v>
      </c>
      <c r="R1187" s="39"/>
      <c r="S1187" s="39"/>
      <c r="T1187" s="39"/>
      <c r="U1187" s="39"/>
      <c r="V1187" s="39"/>
    </row>
    <row r="1188" spans="1:22">
      <c r="A1188" s="39"/>
      <c r="B1188" s="39"/>
      <c r="C1188" s="39"/>
      <c r="D1188" s="39"/>
      <c r="E1188" s="139"/>
      <c r="F1188" s="139"/>
      <c r="G1188" s="39"/>
      <c r="H1188" s="139"/>
      <c r="I1188" s="139"/>
      <c r="J1188" s="39"/>
      <c r="K1188" s="139"/>
      <c r="L1188" s="39"/>
      <c r="M1188" s="139">
        <f t="shared" si="35"/>
        <v>0</v>
      </c>
      <c r="N1188" s="139"/>
      <c r="O1188" s="139"/>
      <c r="P1188" s="143"/>
      <c r="Q1188" s="39" t="s">
        <v>513</v>
      </c>
      <c r="R1188" s="39"/>
      <c r="S1188" s="39"/>
      <c r="T1188" s="39"/>
      <c r="U1188" s="39"/>
      <c r="V1188" s="39"/>
    </row>
    <row r="1189" spans="1:22">
      <c r="A1189" s="39"/>
      <c r="B1189" s="39"/>
      <c r="C1189" s="39"/>
      <c r="D1189" s="39"/>
      <c r="E1189" s="139"/>
      <c r="F1189" s="139"/>
      <c r="G1189" s="39"/>
      <c r="H1189" s="139"/>
      <c r="I1189" s="139"/>
      <c r="J1189" s="39"/>
      <c r="K1189" s="139"/>
      <c r="L1189" s="39"/>
      <c r="M1189" s="139">
        <f t="shared" si="35"/>
        <v>0</v>
      </c>
      <c r="N1189" s="139"/>
      <c r="O1189" s="139"/>
      <c r="P1189" s="143"/>
      <c r="Q1189" s="39" t="s">
        <v>513</v>
      </c>
      <c r="R1189" s="39"/>
      <c r="S1189" s="39"/>
      <c r="T1189" s="39"/>
      <c r="U1189" s="39"/>
      <c r="V1189" s="39"/>
    </row>
    <row r="1190" spans="1:22">
      <c r="A1190" s="39"/>
      <c r="B1190" s="39"/>
      <c r="C1190" s="39"/>
      <c r="D1190" s="39"/>
      <c r="E1190" s="139"/>
      <c r="F1190" s="139"/>
      <c r="G1190" s="39"/>
      <c r="H1190" s="139"/>
      <c r="I1190" s="139"/>
      <c r="J1190" s="39"/>
      <c r="K1190" s="139"/>
      <c r="L1190" s="39"/>
      <c r="M1190" s="139">
        <f t="shared" si="35"/>
        <v>0</v>
      </c>
      <c r="N1190" s="139"/>
      <c r="O1190" s="139"/>
      <c r="P1190" s="143"/>
      <c r="Q1190" s="39" t="s">
        <v>513</v>
      </c>
      <c r="R1190" s="39"/>
      <c r="S1190" s="39"/>
      <c r="T1190" s="39"/>
      <c r="U1190" s="39"/>
      <c r="V1190" s="39"/>
    </row>
    <row r="1191" spans="1:22">
      <c r="A1191" s="39"/>
      <c r="B1191" s="39"/>
      <c r="C1191" s="39"/>
      <c r="D1191" s="39"/>
      <c r="E1191" s="139"/>
      <c r="F1191" s="139"/>
      <c r="G1191" s="39"/>
      <c r="H1191" s="139"/>
      <c r="I1191" s="139"/>
      <c r="J1191" s="39"/>
      <c r="K1191" s="139"/>
      <c r="L1191" s="39"/>
      <c r="M1191" s="139">
        <f t="shared" si="35"/>
        <v>0</v>
      </c>
      <c r="N1191" s="139"/>
      <c r="O1191" s="139"/>
      <c r="P1191" s="143"/>
      <c r="Q1191" s="39" t="s">
        <v>513</v>
      </c>
      <c r="R1191" s="39"/>
      <c r="S1191" s="39"/>
      <c r="T1191" s="39"/>
      <c r="U1191" s="39"/>
      <c r="V1191" s="39"/>
    </row>
    <row r="1192" spans="1:22">
      <c r="A1192" s="39"/>
      <c r="B1192" s="39"/>
      <c r="C1192" s="39"/>
      <c r="D1192" s="39"/>
      <c r="E1192" s="139"/>
      <c r="F1192" s="139"/>
      <c r="G1192" s="39"/>
      <c r="H1192" s="139"/>
      <c r="I1192" s="139"/>
      <c r="J1192" s="39"/>
      <c r="K1192" s="139"/>
      <c r="L1192" s="39"/>
      <c r="M1192" s="139">
        <f t="shared" si="35"/>
        <v>0</v>
      </c>
      <c r="N1192" s="139"/>
      <c r="O1192" s="139"/>
      <c r="P1192" s="143"/>
      <c r="Q1192" s="39" t="s">
        <v>513</v>
      </c>
      <c r="R1192" s="39"/>
      <c r="S1192" s="39"/>
      <c r="T1192" s="39"/>
      <c r="U1192" s="39"/>
      <c r="V1192" s="39"/>
    </row>
    <row r="1193" spans="1:22">
      <c r="A1193" s="39"/>
      <c r="B1193" s="39"/>
      <c r="C1193" s="39"/>
      <c r="D1193" s="39"/>
      <c r="E1193" s="139"/>
      <c r="F1193" s="139"/>
      <c r="G1193" s="39"/>
      <c r="H1193" s="139"/>
      <c r="I1193" s="139"/>
      <c r="J1193" s="39"/>
      <c r="K1193" s="139"/>
      <c r="L1193" s="39"/>
      <c r="M1193" s="139">
        <f t="shared" si="35"/>
        <v>0</v>
      </c>
      <c r="N1193" s="139"/>
      <c r="O1193" s="139"/>
      <c r="P1193" s="143"/>
      <c r="Q1193" s="39" t="s">
        <v>513</v>
      </c>
      <c r="R1193" s="39"/>
      <c r="S1193" s="39"/>
      <c r="T1193" s="39"/>
      <c r="U1193" s="39"/>
      <c r="V1193" s="39"/>
    </row>
    <row r="1194" spans="1:22">
      <c r="A1194" s="39"/>
      <c r="B1194" s="39"/>
      <c r="C1194" s="39"/>
      <c r="D1194" s="39"/>
      <c r="E1194" s="139"/>
      <c r="F1194" s="139"/>
      <c r="G1194" s="39"/>
      <c r="H1194" s="139"/>
      <c r="I1194" s="139"/>
      <c r="J1194" s="39"/>
      <c r="K1194" s="139"/>
      <c r="L1194" s="39"/>
      <c r="M1194" s="139">
        <f t="shared" si="35"/>
        <v>0</v>
      </c>
      <c r="N1194" s="139"/>
      <c r="O1194" s="139"/>
      <c r="P1194" s="143"/>
      <c r="Q1194" s="39" t="s">
        <v>513</v>
      </c>
      <c r="R1194" s="39"/>
      <c r="S1194" s="39"/>
      <c r="T1194" s="39"/>
      <c r="U1194" s="39"/>
      <c r="V1194" s="39"/>
    </row>
    <row r="1195" spans="1:22">
      <c r="A1195" s="39"/>
      <c r="B1195" s="39"/>
      <c r="C1195" s="39"/>
      <c r="D1195" s="39"/>
      <c r="E1195" s="139"/>
      <c r="F1195" s="139"/>
      <c r="G1195" s="39"/>
      <c r="H1195" s="139"/>
      <c r="I1195" s="139"/>
      <c r="J1195" s="39"/>
      <c r="K1195" s="139"/>
      <c r="L1195" s="39"/>
      <c r="M1195" s="139">
        <f t="shared" si="35"/>
        <v>0</v>
      </c>
      <c r="N1195" s="139"/>
      <c r="O1195" s="139"/>
      <c r="P1195" s="143"/>
      <c r="Q1195" s="39" t="s">
        <v>513</v>
      </c>
      <c r="R1195" s="39"/>
      <c r="S1195" s="39"/>
      <c r="T1195" s="39"/>
      <c r="U1195" s="39"/>
      <c r="V1195" s="39"/>
    </row>
    <row r="1196" spans="1:22">
      <c r="A1196" s="39"/>
      <c r="B1196" s="39"/>
      <c r="C1196" s="39"/>
      <c r="D1196" s="39"/>
      <c r="E1196" s="139"/>
      <c r="F1196" s="139"/>
      <c r="G1196" s="39"/>
      <c r="H1196" s="139"/>
      <c r="I1196" s="139"/>
      <c r="J1196" s="39"/>
      <c r="K1196" s="139"/>
      <c r="L1196" s="39"/>
      <c r="M1196" s="139">
        <f t="shared" si="35"/>
        <v>0</v>
      </c>
      <c r="N1196" s="139"/>
      <c r="O1196" s="139"/>
      <c r="P1196" s="143"/>
      <c r="Q1196" s="39" t="s">
        <v>513</v>
      </c>
      <c r="R1196" s="39"/>
      <c r="S1196" s="39"/>
      <c r="T1196" s="39"/>
      <c r="U1196" s="39"/>
      <c r="V1196" s="39"/>
    </row>
    <row r="1197" spans="1:22">
      <c r="A1197" s="39"/>
      <c r="B1197" s="39"/>
      <c r="C1197" s="39"/>
      <c r="D1197" s="39"/>
      <c r="E1197" s="139"/>
      <c r="F1197" s="139"/>
      <c r="G1197" s="39"/>
      <c r="H1197" s="139"/>
      <c r="I1197" s="139"/>
      <c r="J1197" s="39"/>
      <c r="K1197" s="139"/>
      <c r="L1197" s="39"/>
      <c r="M1197" s="139">
        <f t="shared" si="35"/>
        <v>0</v>
      </c>
      <c r="N1197" s="139"/>
      <c r="O1197" s="139"/>
      <c r="P1197" s="143"/>
      <c r="Q1197" s="39" t="s">
        <v>513</v>
      </c>
      <c r="R1197" s="39"/>
      <c r="S1197" s="39"/>
      <c r="T1197" s="39"/>
      <c r="U1197" s="39"/>
      <c r="V1197" s="39"/>
    </row>
    <row r="1198" spans="1:22">
      <c r="A1198" s="39"/>
      <c r="B1198" s="39"/>
      <c r="C1198" s="39"/>
      <c r="D1198" s="39"/>
      <c r="E1198" s="139"/>
      <c r="F1198" s="139"/>
      <c r="G1198" s="39"/>
      <c r="H1198" s="139"/>
      <c r="I1198" s="139"/>
      <c r="J1198" s="39"/>
      <c r="K1198" s="139"/>
      <c r="L1198" s="39"/>
      <c r="M1198" s="139">
        <f t="shared" si="35"/>
        <v>0</v>
      </c>
      <c r="N1198" s="139"/>
      <c r="O1198" s="139"/>
      <c r="P1198" s="143"/>
      <c r="Q1198" s="39" t="s">
        <v>513</v>
      </c>
      <c r="R1198" s="39"/>
      <c r="S1198" s="39"/>
      <c r="T1198" s="39"/>
      <c r="U1198" s="39"/>
      <c r="V1198" s="39"/>
    </row>
    <row r="1199" spans="1:22">
      <c r="A1199" s="39"/>
      <c r="B1199" s="39"/>
      <c r="C1199" s="39"/>
      <c r="D1199" s="39"/>
      <c r="E1199" s="139"/>
      <c r="F1199" s="139"/>
      <c r="G1199" s="39"/>
      <c r="H1199" s="139"/>
      <c r="I1199" s="139"/>
      <c r="J1199" s="39"/>
      <c r="K1199" s="139"/>
      <c r="L1199" s="39"/>
      <c r="M1199" s="139">
        <f t="shared" si="35"/>
        <v>0</v>
      </c>
      <c r="N1199" s="139"/>
      <c r="O1199" s="139"/>
      <c r="P1199" s="143"/>
      <c r="Q1199" s="39" t="s">
        <v>513</v>
      </c>
      <c r="R1199" s="39"/>
      <c r="S1199" s="39"/>
      <c r="T1199" s="39"/>
      <c r="U1199" s="39"/>
      <c r="V1199" s="39"/>
    </row>
    <row r="1200" spans="1:22">
      <c r="A1200" s="39"/>
      <c r="B1200" s="39"/>
      <c r="C1200" s="39"/>
      <c r="D1200" s="39"/>
      <c r="E1200" s="139"/>
      <c r="F1200" s="139"/>
      <c r="G1200" s="39"/>
      <c r="H1200" s="139"/>
      <c r="I1200" s="139"/>
      <c r="J1200" s="39"/>
      <c r="K1200" s="139"/>
      <c r="L1200" s="39"/>
      <c r="M1200" s="139">
        <f t="shared" si="35"/>
        <v>0</v>
      </c>
      <c r="N1200" s="139"/>
      <c r="O1200" s="139"/>
      <c r="P1200" s="143"/>
      <c r="Q1200" s="39" t="s">
        <v>513</v>
      </c>
      <c r="R1200" s="39"/>
      <c r="S1200" s="39"/>
      <c r="T1200" s="39"/>
      <c r="U1200" s="39"/>
      <c r="V1200" s="39"/>
    </row>
    <row r="1201" spans="1:22">
      <c r="A1201" s="39"/>
      <c r="B1201" s="39"/>
      <c r="C1201" s="39"/>
      <c r="D1201" s="39"/>
      <c r="E1201" s="139"/>
      <c r="F1201" s="139"/>
      <c r="G1201" s="39"/>
      <c r="H1201" s="139"/>
      <c r="I1201" s="139"/>
      <c r="J1201" s="39"/>
      <c r="K1201" s="139"/>
      <c r="L1201" s="39"/>
      <c r="M1201" s="139">
        <f t="shared" si="35"/>
        <v>0</v>
      </c>
      <c r="N1201" s="139"/>
      <c r="O1201" s="139"/>
      <c r="P1201" s="143"/>
      <c r="Q1201" s="39" t="s">
        <v>513</v>
      </c>
      <c r="R1201" s="39"/>
      <c r="S1201" s="39"/>
      <c r="T1201" s="39"/>
      <c r="U1201" s="39"/>
      <c r="V1201" s="39"/>
    </row>
    <row r="1202" spans="1:22">
      <c r="A1202" s="39"/>
      <c r="B1202" s="39"/>
      <c r="C1202" s="39"/>
      <c r="D1202" s="39"/>
      <c r="E1202" s="139"/>
      <c r="F1202" s="139"/>
      <c r="G1202" s="39"/>
      <c r="H1202" s="139"/>
      <c r="I1202" s="139"/>
      <c r="J1202" s="39"/>
      <c r="K1202" s="139"/>
      <c r="L1202" s="39"/>
      <c r="M1202" s="139">
        <f t="shared" si="35"/>
        <v>0</v>
      </c>
      <c r="N1202" s="139"/>
      <c r="O1202" s="139"/>
      <c r="P1202" s="143"/>
      <c r="Q1202" s="39" t="s">
        <v>513</v>
      </c>
      <c r="R1202" s="39"/>
      <c r="S1202" s="39"/>
      <c r="T1202" s="39"/>
      <c r="U1202" s="39"/>
      <c r="V1202" s="39"/>
    </row>
    <row r="1203" spans="1:22">
      <c r="A1203" s="39"/>
      <c r="B1203" s="39"/>
      <c r="C1203" s="39"/>
      <c r="D1203" s="39"/>
      <c r="E1203" s="139"/>
      <c r="F1203" s="139"/>
      <c r="G1203" s="39"/>
      <c r="H1203" s="139"/>
      <c r="I1203" s="139"/>
      <c r="J1203" s="39"/>
      <c r="K1203" s="139"/>
      <c r="L1203" s="39"/>
      <c r="M1203" s="139">
        <f t="shared" si="35"/>
        <v>0</v>
      </c>
      <c r="N1203" s="139"/>
      <c r="O1203" s="139"/>
      <c r="P1203" s="143"/>
      <c r="Q1203" s="39" t="s">
        <v>513</v>
      </c>
      <c r="R1203" s="39"/>
      <c r="S1203" s="39"/>
      <c r="T1203" s="39"/>
      <c r="U1203" s="39"/>
      <c r="V1203" s="39"/>
    </row>
    <row r="1204" spans="1:22">
      <c r="A1204" s="39"/>
      <c r="B1204" s="39"/>
      <c r="C1204" s="39"/>
      <c r="D1204" s="39"/>
      <c r="E1204" s="139"/>
      <c r="F1204" s="139"/>
      <c r="G1204" s="39"/>
      <c r="H1204" s="139"/>
      <c r="I1204" s="139"/>
      <c r="J1204" s="39"/>
      <c r="K1204" s="139"/>
      <c r="L1204" s="39"/>
      <c r="M1204" s="139">
        <f t="shared" si="35"/>
        <v>0</v>
      </c>
      <c r="N1204" s="139"/>
      <c r="O1204" s="139"/>
      <c r="P1204" s="143"/>
      <c r="Q1204" s="39" t="s">
        <v>513</v>
      </c>
      <c r="R1204" s="39"/>
      <c r="S1204" s="39"/>
      <c r="T1204" s="39"/>
      <c r="U1204" s="39"/>
      <c r="V1204" s="39"/>
    </row>
    <row r="1205" spans="1:22">
      <c r="A1205" s="39"/>
      <c r="B1205" s="39"/>
      <c r="C1205" s="39"/>
      <c r="D1205" s="39"/>
      <c r="E1205" s="139"/>
      <c r="F1205" s="139"/>
      <c r="G1205" s="39"/>
      <c r="H1205" s="139"/>
      <c r="I1205" s="139"/>
      <c r="J1205" s="39"/>
      <c r="K1205" s="139"/>
      <c r="L1205" s="39"/>
      <c r="M1205" s="139">
        <f t="shared" si="35"/>
        <v>0</v>
      </c>
      <c r="N1205" s="139"/>
      <c r="O1205" s="139"/>
      <c r="P1205" s="143"/>
      <c r="Q1205" s="39" t="s">
        <v>513</v>
      </c>
      <c r="R1205" s="39"/>
      <c r="S1205" s="39"/>
      <c r="T1205" s="39"/>
      <c r="U1205" s="39"/>
      <c r="V1205" s="39"/>
    </row>
    <row r="1206" spans="1:22">
      <c r="A1206" s="39"/>
      <c r="B1206" s="39"/>
      <c r="C1206" s="39"/>
      <c r="D1206" s="39"/>
      <c r="E1206" s="139"/>
      <c r="F1206" s="139"/>
      <c r="G1206" s="39"/>
      <c r="H1206" s="139"/>
      <c r="I1206" s="139"/>
      <c r="J1206" s="39"/>
      <c r="K1206" s="139"/>
      <c r="L1206" s="39"/>
      <c r="M1206" s="139">
        <f t="shared" si="35"/>
        <v>0</v>
      </c>
      <c r="N1206" s="139"/>
      <c r="O1206" s="139"/>
      <c r="P1206" s="143"/>
      <c r="Q1206" s="39" t="s">
        <v>513</v>
      </c>
      <c r="R1206" s="39"/>
      <c r="S1206" s="39"/>
      <c r="T1206" s="39"/>
      <c r="U1206" s="39"/>
      <c r="V1206" s="39"/>
    </row>
    <row r="1207" spans="1:22">
      <c r="A1207" s="39"/>
      <c r="B1207" s="39"/>
      <c r="C1207" s="39"/>
      <c r="D1207" s="39"/>
      <c r="E1207" s="139"/>
      <c r="F1207" s="139"/>
      <c r="G1207" s="39"/>
      <c r="H1207" s="139"/>
      <c r="I1207" s="139"/>
      <c r="J1207" s="39"/>
      <c r="K1207" s="139"/>
      <c r="L1207" s="39"/>
      <c r="M1207" s="139">
        <f t="shared" si="35"/>
        <v>0</v>
      </c>
      <c r="N1207" s="139"/>
      <c r="O1207" s="139"/>
      <c r="P1207" s="143"/>
      <c r="Q1207" s="39" t="s">
        <v>513</v>
      </c>
      <c r="R1207" s="39"/>
      <c r="S1207" s="39"/>
      <c r="T1207" s="39"/>
      <c r="U1207" s="39"/>
      <c r="V1207" s="39"/>
    </row>
    <row r="1208" spans="1:22">
      <c r="A1208" s="39"/>
      <c r="B1208" s="39"/>
      <c r="C1208" s="39"/>
      <c r="D1208" s="39"/>
      <c r="E1208" s="139"/>
      <c r="F1208" s="139"/>
      <c r="G1208" s="39"/>
      <c r="H1208" s="139"/>
      <c r="I1208" s="139"/>
      <c r="J1208" s="39"/>
      <c r="K1208" s="139"/>
      <c r="L1208" s="39"/>
      <c r="M1208" s="139">
        <f t="shared" si="35"/>
        <v>0</v>
      </c>
      <c r="N1208" s="139"/>
      <c r="O1208" s="139"/>
      <c r="P1208" s="143"/>
      <c r="Q1208" s="39" t="s">
        <v>513</v>
      </c>
      <c r="R1208" s="39"/>
      <c r="S1208" s="39"/>
      <c r="T1208" s="39"/>
      <c r="U1208" s="39"/>
      <c r="V1208" s="39"/>
    </row>
    <row r="1209" spans="1:22">
      <c r="A1209" s="39"/>
      <c r="B1209" s="39"/>
      <c r="C1209" s="39"/>
      <c r="D1209" s="39"/>
      <c r="E1209" s="139"/>
      <c r="F1209" s="139"/>
      <c r="G1209" s="39"/>
      <c r="H1209" s="139"/>
      <c r="I1209" s="139"/>
      <c r="J1209" s="39"/>
      <c r="K1209" s="139"/>
      <c r="L1209" s="39"/>
      <c r="M1209" s="139">
        <f t="shared" si="35"/>
        <v>0</v>
      </c>
      <c r="N1209" s="139"/>
      <c r="O1209" s="139"/>
      <c r="P1209" s="143"/>
      <c r="Q1209" s="39" t="s">
        <v>513</v>
      </c>
      <c r="R1209" s="39"/>
      <c r="S1209" s="39"/>
      <c r="T1209" s="39"/>
      <c r="U1209" s="39"/>
      <c r="V1209" s="39"/>
    </row>
    <row r="1210" spans="1:22">
      <c r="A1210" s="39"/>
      <c r="B1210" s="39"/>
      <c r="C1210" s="39"/>
      <c r="D1210" s="39"/>
      <c r="E1210" s="139"/>
      <c r="F1210" s="139"/>
      <c r="G1210" s="39"/>
      <c r="H1210" s="139"/>
      <c r="I1210" s="139"/>
      <c r="J1210" s="39"/>
      <c r="K1210" s="139"/>
      <c r="L1210" s="39"/>
      <c r="M1210" s="139">
        <f t="shared" si="35"/>
        <v>0</v>
      </c>
      <c r="N1210" s="139"/>
      <c r="O1210" s="139"/>
      <c r="P1210" s="143"/>
      <c r="Q1210" s="39" t="s">
        <v>513</v>
      </c>
      <c r="R1210" s="39"/>
      <c r="S1210" s="39"/>
      <c r="T1210" s="39"/>
      <c r="U1210" s="39"/>
      <c r="V1210" s="39"/>
    </row>
    <row r="1211" spans="1:22">
      <c r="A1211" s="39"/>
      <c r="B1211" s="39"/>
      <c r="C1211" s="39"/>
      <c r="D1211" s="39"/>
      <c r="E1211" s="139"/>
      <c r="F1211" s="139"/>
      <c r="G1211" s="39"/>
      <c r="H1211" s="139"/>
      <c r="I1211" s="139"/>
      <c r="J1211" s="39"/>
      <c r="K1211" s="139"/>
      <c r="L1211" s="39"/>
      <c r="M1211" s="139">
        <f t="shared" si="35"/>
        <v>0</v>
      </c>
      <c r="N1211" s="139"/>
      <c r="O1211" s="139"/>
      <c r="P1211" s="143"/>
      <c r="Q1211" s="39" t="s">
        <v>513</v>
      </c>
      <c r="R1211" s="39"/>
      <c r="S1211" s="39"/>
      <c r="T1211" s="39"/>
      <c r="U1211" s="39"/>
      <c r="V1211" s="39"/>
    </row>
    <row r="1212" spans="1:22">
      <c r="A1212" s="39"/>
      <c r="B1212" s="39"/>
      <c r="C1212" s="39"/>
      <c r="D1212" s="39"/>
      <c r="E1212" s="139"/>
      <c r="F1212" s="139"/>
      <c r="G1212" s="39"/>
      <c r="H1212" s="139"/>
      <c r="I1212" s="139"/>
      <c r="J1212" s="39"/>
      <c r="K1212" s="139"/>
      <c r="L1212" s="39"/>
      <c r="M1212" s="139">
        <f t="shared" si="35"/>
        <v>0</v>
      </c>
      <c r="N1212" s="139"/>
      <c r="O1212" s="139"/>
      <c r="P1212" s="143"/>
      <c r="Q1212" s="39" t="s">
        <v>513</v>
      </c>
      <c r="R1212" s="39"/>
      <c r="S1212" s="39"/>
      <c r="T1212" s="39"/>
      <c r="U1212" s="39"/>
      <c r="V1212" s="39"/>
    </row>
    <row r="1213" spans="1:22">
      <c r="A1213" s="39"/>
      <c r="B1213" s="39"/>
      <c r="C1213" s="39"/>
      <c r="D1213" s="39"/>
      <c r="E1213" s="139"/>
      <c r="F1213" s="139"/>
      <c r="G1213" s="39"/>
      <c r="H1213" s="139"/>
      <c r="I1213" s="139"/>
      <c r="J1213" s="39"/>
      <c r="K1213" s="139"/>
      <c r="L1213" s="39"/>
      <c r="M1213" s="139">
        <f t="shared" si="35"/>
        <v>0</v>
      </c>
      <c r="N1213" s="139"/>
      <c r="O1213" s="139"/>
      <c r="P1213" s="143"/>
      <c r="Q1213" s="39" t="s">
        <v>513</v>
      </c>
      <c r="R1213" s="39"/>
      <c r="S1213" s="39"/>
      <c r="T1213" s="39"/>
      <c r="U1213" s="39"/>
      <c r="V1213" s="39"/>
    </row>
    <row r="1214" spans="1:22">
      <c r="A1214" s="39"/>
      <c r="B1214" s="39"/>
      <c r="C1214" s="39"/>
      <c r="D1214" s="39"/>
      <c r="E1214" s="139"/>
      <c r="F1214" s="139"/>
      <c r="G1214" s="39"/>
      <c r="H1214" s="139"/>
      <c r="I1214" s="139"/>
      <c r="J1214" s="39"/>
      <c r="K1214" s="139"/>
      <c r="L1214" s="39"/>
      <c r="M1214" s="139">
        <f t="shared" si="35"/>
        <v>0</v>
      </c>
      <c r="N1214" s="139"/>
      <c r="O1214" s="139"/>
      <c r="P1214" s="143"/>
      <c r="Q1214" s="39" t="s">
        <v>513</v>
      </c>
      <c r="R1214" s="39"/>
      <c r="S1214" s="39"/>
      <c r="T1214" s="39"/>
      <c r="U1214" s="39"/>
      <c r="V1214" s="39"/>
    </row>
    <row r="1215" spans="1:22">
      <c r="A1215" s="39"/>
      <c r="B1215" s="39"/>
      <c r="C1215" s="39"/>
      <c r="D1215" s="39"/>
      <c r="E1215" s="139"/>
      <c r="F1215" s="139"/>
      <c r="G1215" s="39"/>
      <c r="H1215" s="139"/>
      <c r="I1215" s="139"/>
      <c r="J1215" s="39"/>
      <c r="K1215" s="139"/>
      <c r="L1215" s="39"/>
      <c r="M1215" s="139">
        <f t="shared" si="35"/>
        <v>0</v>
      </c>
      <c r="N1215" s="139"/>
      <c r="O1215" s="139"/>
      <c r="P1215" s="143"/>
      <c r="Q1215" s="39" t="s">
        <v>513</v>
      </c>
      <c r="R1215" s="39"/>
      <c r="S1215" s="39"/>
      <c r="T1215" s="39"/>
      <c r="U1215" s="39"/>
      <c r="V1215" s="39"/>
    </row>
    <row r="1216" spans="1:22">
      <c r="A1216" s="39"/>
      <c r="B1216" s="39"/>
      <c r="C1216" s="39"/>
      <c r="D1216" s="39"/>
      <c r="E1216" s="139"/>
      <c r="F1216" s="139"/>
      <c r="G1216" s="39"/>
      <c r="H1216" s="139"/>
      <c r="I1216" s="139"/>
      <c r="J1216" s="39"/>
      <c r="K1216" s="139"/>
      <c r="L1216" s="39"/>
      <c r="M1216" s="139">
        <f t="shared" si="35"/>
        <v>0</v>
      </c>
      <c r="N1216" s="139"/>
      <c r="O1216" s="139"/>
      <c r="P1216" s="143"/>
      <c r="Q1216" s="39" t="s">
        <v>513</v>
      </c>
      <c r="R1216" s="39"/>
      <c r="S1216" s="39"/>
      <c r="T1216" s="39"/>
      <c r="U1216" s="39"/>
      <c r="V1216" s="39"/>
    </row>
    <row r="1217" spans="1:22">
      <c r="A1217" s="39"/>
      <c r="B1217" s="39"/>
      <c r="C1217" s="39"/>
      <c r="D1217" s="39"/>
      <c r="E1217" s="139"/>
      <c r="F1217" s="139"/>
      <c r="G1217" s="39"/>
      <c r="H1217" s="139"/>
      <c r="I1217" s="139"/>
      <c r="J1217" s="39"/>
      <c r="K1217" s="139"/>
      <c r="L1217" s="39"/>
      <c r="M1217" s="139">
        <f t="shared" si="35"/>
        <v>0</v>
      </c>
      <c r="N1217" s="139"/>
      <c r="O1217" s="139"/>
      <c r="P1217" s="143"/>
      <c r="Q1217" s="39" t="s">
        <v>513</v>
      </c>
      <c r="R1217" s="39"/>
      <c r="S1217" s="39"/>
      <c r="T1217" s="39"/>
      <c r="U1217" s="39"/>
      <c r="V1217" s="39"/>
    </row>
    <row r="1218" spans="1:22">
      <c r="A1218" s="39"/>
      <c r="B1218" s="39"/>
      <c r="C1218" s="39"/>
      <c r="D1218" s="39"/>
      <c r="E1218" s="139"/>
      <c r="F1218" s="139"/>
      <c r="G1218" s="39"/>
      <c r="H1218" s="139"/>
      <c r="I1218" s="139"/>
      <c r="J1218" s="39"/>
      <c r="K1218" s="139"/>
      <c r="L1218" s="39"/>
      <c r="M1218" s="139">
        <f t="shared" si="35"/>
        <v>0</v>
      </c>
      <c r="N1218" s="139"/>
      <c r="O1218" s="139"/>
      <c r="P1218" s="143"/>
      <c r="Q1218" s="39" t="s">
        <v>513</v>
      </c>
      <c r="R1218" s="39"/>
      <c r="S1218" s="39"/>
      <c r="T1218" s="39"/>
      <c r="U1218" s="39"/>
      <c r="V1218" s="39"/>
    </row>
    <row r="1219" spans="1:22">
      <c r="A1219" s="39"/>
      <c r="B1219" s="39"/>
      <c r="C1219" s="39"/>
      <c r="D1219" s="39"/>
      <c r="E1219" s="139"/>
      <c r="F1219" s="139"/>
      <c r="G1219" s="39"/>
      <c r="H1219" s="139"/>
      <c r="I1219" s="139"/>
      <c r="J1219" s="39"/>
      <c r="K1219" s="139"/>
      <c r="L1219" s="39"/>
      <c r="M1219" s="139">
        <f t="shared" si="35"/>
        <v>0</v>
      </c>
      <c r="N1219" s="139"/>
      <c r="O1219" s="139"/>
      <c r="P1219" s="143"/>
      <c r="Q1219" s="39" t="s">
        <v>513</v>
      </c>
      <c r="R1219" s="39"/>
      <c r="S1219" s="39"/>
      <c r="T1219" s="39"/>
      <c r="U1219" s="39"/>
      <c r="V1219" s="39"/>
    </row>
    <row r="1220" spans="1:22">
      <c r="A1220" s="39"/>
      <c r="B1220" s="39"/>
      <c r="C1220" s="39"/>
      <c r="D1220" s="39"/>
      <c r="E1220" s="139"/>
      <c r="F1220" s="139"/>
      <c r="G1220" s="39"/>
      <c r="H1220" s="139"/>
      <c r="I1220" s="139"/>
      <c r="J1220" s="39"/>
      <c r="K1220" s="139"/>
      <c r="L1220" s="39"/>
      <c r="M1220" s="139">
        <f t="shared" si="35"/>
        <v>0</v>
      </c>
      <c r="N1220" s="139"/>
      <c r="O1220" s="139"/>
      <c r="P1220" s="143"/>
      <c r="Q1220" s="39" t="s">
        <v>513</v>
      </c>
      <c r="R1220" s="39"/>
      <c r="S1220" s="39"/>
      <c r="T1220" s="39"/>
      <c r="U1220" s="39"/>
      <c r="V1220" s="39"/>
    </row>
    <row r="1221" spans="1:22">
      <c r="A1221" s="39"/>
      <c r="B1221" s="39"/>
      <c r="C1221" s="39"/>
      <c r="D1221" s="39"/>
      <c r="E1221" s="139"/>
      <c r="F1221" s="139"/>
      <c r="G1221" s="39"/>
      <c r="H1221" s="139"/>
      <c r="I1221" s="139"/>
      <c r="J1221" s="39"/>
      <c r="K1221" s="139"/>
      <c r="L1221" s="39"/>
      <c r="M1221" s="139">
        <f t="shared" si="35"/>
        <v>0</v>
      </c>
      <c r="N1221" s="139"/>
      <c r="O1221" s="139"/>
      <c r="P1221" s="143"/>
      <c r="Q1221" s="39" t="s">
        <v>513</v>
      </c>
      <c r="R1221" s="39"/>
      <c r="S1221" s="39"/>
      <c r="T1221" s="39"/>
      <c r="U1221" s="39"/>
      <c r="V1221" s="39"/>
    </row>
    <row r="1222" spans="1:22">
      <c r="A1222" s="39"/>
      <c r="B1222" s="39"/>
      <c r="C1222" s="39"/>
      <c r="D1222" s="39"/>
      <c r="E1222" s="139"/>
      <c r="F1222" s="139"/>
      <c r="G1222" s="39"/>
      <c r="H1222" s="139"/>
      <c r="I1222" s="139"/>
      <c r="J1222" s="39"/>
      <c r="K1222" s="139"/>
      <c r="L1222" s="39"/>
      <c r="M1222" s="139">
        <f t="shared" si="35"/>
        <v>0</v>
      </c>
      <c r="N1222" s="139"/>
      <c r="O1222" s="139"/>
      <c r="P1222" s="143"/>
      <c r="Q1222" s="39" t="s">
        <v>513</v>
      </c>
      <c r="R1222" s="39"/>
      <c r="S1222" s="39"/>
      <c r="T1222" s="39"/>
      <c r="U1222" s="39"/>
      <c r="V1222" s="39"/>
    </row>
    <row r="1223" spans="1:22">
      <c r="A1223" s="39"/>
      <c r="B1223" s="39"/>
      <c r="C1223" s="39"/>
      <c r="D1223" s="39"/>
      <c r="E1223" s="139"/>
      <c r="F1223" s="139"/>
      <c r="G1223" s="39"/>
      <c r="H1223" s="139"/>
      <c r="I1223" s="139"/>
      <c r="J1223" s="39"/>
      <c r="K1223" s="139"/>
      <c r="L1223" s="39"/>
      <c r="M1223" s="139">
        <f t="shared" si="35"/>
        <v>0</v>
      </c>
      <c r="N1223" s="139"/>
      <c r="O1223" s="139"/>
      <c r="P1223" s="143"/>
      <c r="Q1223" s="39" t="s">
        <v>513</v>
      </c>
      <c r="R1223" s="39"/>
      <c r="S1223" s="39"/>
      <c r="T1223" s="39"/>
      <c r="U1223" s="39"/>
      <c r="V1223" s="39"/>
    </row>
    <row r="1224" spans="1:22">
      <c r="A1224" s="39"/>
      <c r="B1224" s="39"/>
      <c r="C1224" s="39"/>
      <c r="D1224" s="39"/>
      <c r="E1224" s="139"/>
      <c r="F1224" s="139"/>
      <c r="G1224" s="39"/>
      <c r="H1224" s="139"/>
      <c r="I1224" s="139"/>
      <c r="J1224" s="39"/>
      <c r="K1224" s="139"/>
      <c r="L1224" s="39"/>
      <c r="M1224" s="139">
        <f t="shared" si="35"/>
        <v>0</v>
      </c>
      <c r="N1224" s="139"/>
      <c r="O1224" s="139"/>
      <c r="P1224" s="143"/>
      <c r="Q1224" s="39" t="s">
        <v>513</v>
      </c>
      <c r="R1224" s="39"/>
      <c r="S1224" s="39"/>
      <c r="T1224" s="39"/>
      <c r="U1224" s="39"/>
      <c r="V1224" s="39"/>
    </row>
    <row r="1225" spans="1:22">
      <c r="A1225" s="39"/>
      <c r="B1225" s="39"/>
      <c r="C1225" s="39"/>
      <c r="D1225" s="39"/>
      <c r="E1225" s="139"/>
      <c r="F1225" s="139"/>
      <c r="G1225" s="39"/>
      <c r="H1225" s="139"/>
      <c r="I1225" s="139"/>
      <c r="J1225" s="39"/>
      <c r="K1225" s="139"/>
      <c r="L1225" s="39"/>
      <c r="M1225" s="139">
        <f t="shared" si="35"/>
        <v>0</v>
      </c>
      <c r="N1225" s="139"/>
      <c r="O1225" s="139"/>
      <c r="P1225" s="143"/>
      <c r="Q1225" s="39" t="s">
        <v>513</v>
      </c>
      <c r="R1225" s="39"/>
      <c r="S1225" s="39"/>
      <c r="T1225" s="39"/>
      <c r="U1225" s="39"/>
      <c r="V1225" s="39"/>
    </row>
    <row r="1226" spans="1:22">
      <c r="A1226" s="39"/>
      <c r="B1226" s="39"/>
      <c r="C1226" s="39"/>
      <c r="D1226" s="39"/>
      <c r="E1226" s="139"/>
      <c r="F1226" s="139"/>
      <c r="G1226" s="39"/>
      <c r="H1226" s="139"/>
      <c r="I1226" s="139"/>
      <c r="J1226" s="39"/>
      <c r="K1226" s="139"/>
      <c r="L1226" s="39"/>
      <c r="M1226" s="139">
        <f t="shared" si="35"/>
        <v>0</v>
      </c>
      <c r="N1226" s="139"/>
      <c r="O1226" s="139"/>
      <c r="P1226" s="143"/>
      <c r="Q1226" s="39" t="s">
        <v>513</v>
      </c>
      <c r="R1226" s="39"/>
      <c r="S1226" s="39"/>
      <c r="T1226" s="39"/>
      <c r="U1226" s="39"/>
      <c r="V1226" s="39"/>
    </row>
    <row r="1227" spans="1:22">
      <c r="A1227" s="39"/>
      <c r="B1227" s="39"/>
      <c r="C1227" s="39"/>
      <c r="D1227" s="39"/>
      <c r="E1227" s="139"/>
      <c r="F1227" s="139"/>
      <c r="G1227" s="39"/>
      <c r="H1227" s="139"/>
      <c r="I1227" s="139"/>
      <c r="J1227" s="39"/>
      <c r="K1227" s="139"/>
      <c r="L1227" s="39"/>
      <c r="M1227" s="139">
        <f t="shared" ref="M1227:M1290" si="36">K1227*H1227</f>
        <v>0</v>
      </c>
      <c r="N1227" s="139"/>
      <c r="O1227" s="139"/>
      <c r="P1227" s="143"/>
      <c r="Q1227" s="39" t="s">
        <v>513</v>
      </c>
      <c r="R1227" s="39"/>
      <c r="S1227" s="39"/>
      <c r="T1227" s="39"/>
      <c r="U1227" s="39"/>
      <c r="V1227" s="39"/>
    </row>
    <row r="1228" spans="1:22">
      <c r="A1228" s="39"/>
      <c r="B1228" s="39"/>
      <c r="C1228" s="39"/>
      <c r="D1228" s="39"/>
      <c r="E1228" s="139"/>
      <c r="F1228" s="139"/>
      <c r="G1228" s="39"/>
      <c r="H1228" s="139"/>
      <c r="I1228" s="139"/>
      <c r="J1228" s="39"/>
      <c r="K1228" s="139"/>
      <c r="L1228" s="39"/>
      <c r="M1228" s="139">
        <f t="shared" si="36"/>
        <v>0</v>
      </c>
      <c r="N1228" s="139"/>
      <c r="O1228" s="139"/>
      <c r="P1228" s="143"/>
      <c r="Q1228" s="39" t="s">
        <v>513</v>
      </c>
      <c r="R1228" s="39"/>
      <c r="S1228" s="39"/>
      <c r="T1228" s="39"/>
      <c r="U1228" s="39"/>
      <c r="V1228" s="39"/>
    </row>
    <row r="1229" spans="1:22">
      <c r="A1229" s="39"/>
      <c r="B1229" s="39"/>
      <c r="C1229" s="39"/>
      <c r="D1229" s="39"/>
      <c r="E1229" s="139"/>
      <c r="F1229" s="139"/>
      <c r="G1229" s="39"/>
      <c r="H1229" s="139"/>
      <c r="I1229" s="139"/>
      <c r="J1229" s="39"/>
      <c r="K1229" s="139"/>
      <c r="L1229" s="39"/>
      <c r="M1229" s="139">
        <f t="shared" si="36"/>
        <v>0</v>
      </c>
      <c r="N1229" s="139"/>
      <c r="O1229" s="139"/>
      <c r="P1229" s="143"/>
      <c r="Q1229" s="39" t="s">
        <v>513</v>
      </c>
      <c r="R1229" s="39"/>
      <c r="S1229" s="39"/>
      <c r="T1229" s="39"/>
      <c r="U1229" s="39"/>
      <c r="V1229" s="39"/>
    </row>
    <row r="1230" spans="1:22">
      <c r="A1230" s="39"/>
      <c r="B1230" s="39"/>
      <c r="C1230" s="39"/>
      <c r="D1230" s="39"/>
      <c r="E1230" s="139"/>
      <c r="F1230" s="139"/>
      <c r="G1230" s="39"/>
      <c r="H1230" s="139"/>
      <c r="I1230" s="139"/>
      <c r="J1230" s="39"/>
      <c r="K1230" s="139"/>
      <c r="L1230" s="39"/>
      <c r="M1230" s="139">
        <f t="shared" si="36"/>
        <v>0</v>
      </c>
      <c r="N1230" s="139"/>
      <c r="O1230" s="139"/>
      <c r="P1230" s="143"/>
      <c r="Q1230" s="39" t="s">
        <v>513</v>
      </c>
      <c r="R1230" s="39"/>
      <c r="S1230" s="39"/>
      <c r="T1230" s="39"/>
      <c r="U1230" s="39"/>
      <c r="V1230" s="39"/>
    </row>
    <row r="1231" spans="1:22">
      <c r="A1231" s="39"/>
      <c r="B1231" s="39"/>
      <c r="C1231" s="39"/>
      <c r="D1231" s="39"/>
      <c r="E1231" s="139"/>
      <c r="F1231" s="139"/>
      <c r="G1231" s="39"/>
      <c r="H1231" s="139"/>
      <c r="I1231" s="139"/>
      <c r="J1231" s="39"/>
      <c r="K1231" s="139"/>
      <c r="L1231" s="39"/>
      <c r="M1231" s="139">
        <f t="shared" si="36"/>
        <v>0</v>
      </c>
      <c r="N1231" s="139"/>
      <c r="O1231" s="139"/>
      <c r="P1231" s="143"/>
      <c r="Q1231" s="39" t="s">
        <v>513</v>
      </c>
      <c r="R1231" s="39"/>
      <c r="S1231" s="39"/>
      <c r="T1231" s="39"/>
      <c r="U1231" s="39"/>
      <c r="V1231" s="39"/>
    </row>
    <row r="1232" spans="1:22">
      <c r="A1232" s="39"/>
      <c r="B1232" s="39"/>
      <c r="C1232" s="39"/>
      <c r="D1232" s="39"/>
      <c r="E1232" s="139"/>
      <c r="F1232" s="139"/>
      <c r="G1232" s="39"/>
      <c r="H1232" s="139"/>
      <c r="I1232" s="139"/>
      <c r="J1232" s="39"/>
      <c r="K1232" s="139"/>
      <c r="L1232" s="39"/>
      <c r="M1232" s="139">
        <f t="shared" si="36"/>
        <v>0</v>
      </c>
      <c r="N1232" s="139"/>
      <c r="O1232" s="139"/>
      <c r="P1232" s="143"/>
      <c r="Q1232" s="39" t="s">
        <v>513</v>
      </c>
      <c r="R1232" s="39"/>
      <c r="S1232" s="39"/>
      <c r="T1232" s="39"/>
      <c r="U1232" s="39"/>
      <c r="V1232" s="39"/>
    </row>
    <row r="1233" spans="1:22">
      <c r="A1233" s="39"/>
      <c r="B1233" s="39"/>
      <c r="C1233" s="39"/>
      <c r="D1233" s="39"/>
      <c r="E1233" s="139"/>
      <c r="F1233" s="139"/>
      <c r="G1233" s="39"/>
      <c r="H1233" s="139"/>
      <c r="I1233" s="139"/>
      <c r="J1233" s="39"/>
      <c r="K1233" s="139"/>
      <c r="L1233" s="39"/>
      <c r="M1233" s="139">
        <f t="shared" si="36"/>
        <v>0</v>
      </c>
      <c r="N1233" s="139"/>
      <c r="O1233" s="139"/>
      <c r="P1233" s="143"/>
      <c r="Q1233" s="39" t="s">
        <v>513</v>
      </c>
      <c r="R1233" s="39"/>
      <c r="S1233" s="39"/>
      <c r="T1233" s="39"/>
      <c r="U1233" s="39"/>
      <c r="V1233" s="39"/>
    </row>
    <row r="1234" spans="1:22">
      <c r="A1234" s="39"/>
      <c r="B1234" s="39"/>
      <c r="C1234" s="39"/>
      <c r="D1234" s="39"/>
      <c r="E1234" s="139"/>
      <c r="F1234" s="139"/>
      <c r="G1234" s="39"/>
      <c r="H1234" s="139"/>
      <c r="I1234" s="139"/>
      <c r="J1234" s="39"/>
      <c r="K1234" s="139"/>
      <c r="L1234" s="39"/>
      <c r="M1234" s="139">
        <f t="shared" si="36"/>
        <v>0</v>
      </c>
      <c r="N1234" s="139"/>
      <c r="O1234" s="139"/>
      <c r="P1234" s="143"/>
      <c r="Q1234" s="39" t="s">
        <v>513</v>
      </c>
      <c r="R1234" s="39"/>
      <c r="S1234" s="39"/>
      <c r="T1234" s="39"/>
      <c r="U1234" s="39"/>
      <c r="V1234" s="39"/>
    </row>
    <row r="1235" spans="1:22">
      <c r="A1235" s="39"/>
      <c r="B1235" s="39"/>
      <c r="C1235" s="39"/>
      <c r="D1235" s="39"/>
      <c r="E1235" s="139"/>
      <c r="F1235" s="139"/>
      <c r="G1235" s="39"/>
      <c r="H1235" s="139"/>
      <c r="I1235" s="139"/>
      <c r="J1235" s="39"/>
      <c r="K1235" s="139"/>
      <c r="L1235" s="39"/>
      <c r="M1235" s="139">
        <f t="shared" si="36"/>
        <v>0</v>
      </c>
      <c r="N1235" s="139"/>
      <c r="O1235" s="139"/>
      <c r="P1235" s="143"/>
      <c r="Q1235" s="39" t="s">
        <v>513</v>
      </c>
      <c r="R1235" s="39"/>
      <c r="S1235" s="39"/>
      <c r="T1235" s="39"/>
      <c r="U1235" s="39"/>
      <c r="V1235" s="39"/>
    </row>
    <row r="1236" spans="1:22">
      <c r="A1236" s="39"/>
      <c r="B1236" s="39"/>
      <c r="C1236" s="39"/>
      <c r="D1236" s="39"/>
      <c r="E1236" s="139"/>
      <c r="F1236" s="139"/>
      <c r="G1236" s="39"/>
      <c r="H1236" s="139"/>
      <c r="I1236" s="139"/>
      <c r="J1236" s="39"/>
      <c r="K1236" s="139"/>
      <c r="L1236" s="39"/>
      <c r="M1236" s="139">
        <f t="shared" si="36"/>
        <v>0</v>
      </c>
      <c r="N1236" s="139"/>
      <c r="O1236" s="139"/>
      <c r="P1236" s="143"/>
      <c r="Q1236" s="39" t="s">
        <v>513</v>
      </c>
      <c r="R1236" s="39"/>
      <c r="S1236" s="39"/>
      <c r="T1236" s="39"/>
      <c r="U1236" s="39"/>
      <c r="V1236" s="39"/>
    </row>
    <row r="1237" spans="1:22">
      <c r="A1237" s="39"/>
      <c r="B1237" s="39"/>
      <c r="C1237" s="39"/>
      <c r="D1237" s="39"/>
      <c r="E1237" s="139"/>
      <c r="F1237" s="139"/>
      <c r="G1237" s="39"/>
      <c r="H1237" s="139"/>
      <c r="I1237" s="139"/>
      <c r="J1237" s="39"/>
      <c r="K1237" s="139"/>
      <c r="L1237" s="39"/>
      <c r="M1237" s="139">
        <f t="shared" si="36"/>
        <v>0</v>
      </c>
      <c r="N1237" s="139"/>
      <c r="O1237" s="139"/>
      <c r="P1237" s="143"/>
      <c r="Q1237" s="39" t="s">
        <v>513</v>
      </c>
      <c r="R1237" s="39"/>
      <c r="S1237" s="39"/>
      <c r="T1237" s="39"/>
      <c r="U1237" s="39"/>
      <c r="V1237" s="39"/>
    </row>
    <row r="1238" spans="1:22">
      <c r="A1238" s="39"/>
      <c r="B1238" s="39"/>
      <c r="C1238" s="39"/>
      <c r="D1238" s="39"/>
      <c r="E1238" s="139"/>
      <c r="F1238" s="139"/>
      <c r="G1238" s="39"/>
      <c r="H1238" s="139"/>
      <c r="I1238" s="139"/>
      <c r="J1238" s="39"/>
      <c r="K1238" s="139"/>
      <c r="L1238" s="39"/>
      <c r="M1238" s="139">
        <f t="shared" si="36"/>
        <v>0</v>
      </c>
      <c r="N1238" s="139"/>
      <c r="O1238" s="139"/>
      <c r="P1238" s="143"/>
      <c r="Q1238" s="39" t="s">
        <v>513</v>
      </c>
      <c r="R1238" s="39"/>
      <c r="S1238" s="39"/>
      <c r="T1238" s="39"/>
      <c r="U1238" s="39"/>
      <c r="V1238" s="39"/>
    </row>
    <row r="1239" spans="1:22">
      <c r="A1239" s="39"/>
      <c r="B1239" s="39"/>
      <c r="C1239" s="39"/>
      <c r="D1239" s="39"/>
      <c r="E1239" s="139"/>
      <c r="F1239" s="139"/>
      <c r="G1239" s="39"/>
      <c r="H1239" s="139"/>
      <c r="I1239" s="139"/>
      <c r="J1239" s="39"/>
      <c r="K1239" s="139"/>
      <c r="L1239" s="39"/>
      <c r="M1239" s="139">
        <f t="shared" si="36"/>
        <v>0</v>
      </c>
      <c r="N1239" s="139"/>
      <c r="O1239" s="139"/>
      <c r="P1239" s="143"/>
      <c r="Q1239" s="39" t="s">
        <v>513</v>
      </c>
      <c r="R1239" s="39"/>
      <c r="S1239" s="39"/>
      <c r="T1239" s="39"/>
      <c r="U1239" s="39"/>
      <c r="V1239" s="39"/>
    </row>
    <row r="1240" spans="1:22">
      <c r="A1240" s="39"/>
      <c r="B1240" s="39"/>
      <c r="C1240" s="39"/>
      <c r="D1240" s="39"/>
      <c r="E1240" s="139"/>
      <c r="F1240" s="139"/>
      <c r="G1240" s="39"/>
      <c r="H1240" s="139"/>
      <c r="I1240" s="139"/>
      <c r="J1240" s="39"/>
      <c r="K1240" s="139"/>
      <c r="L1240" s="39"/>
      <c r="M1240" s="139">
        <f t="shared" si="36"/>
        <v>0</v>
      </c>
      <c r="N1240" s="139"/>
      <c r="O1240" s="139"/>
      <c r="P1240" s="143"/>
      <c r="Q1240" s="39" t="s">
        <v>513</v>
      </c>
      <c r="R1240" s="39"/>
      <c r="S1240" s="39"/>
      <c r="T1240" s="39"/>
      <c r="U1240" s="39"/>
      <c r="V1240" s="39"/>
    </row>
    <row r="1241" spans="1:22">
      <c r="A1241" s="39"/>
      <c r="B1241" s="39"/>
      <c r="C1241" s="39"/>
      <c r="D1241" s="39"/>
      <c r="E1241" s="139"/>
      <c r="F1241" s="139"/>
      <c r="G1241" s="39"/>
      <c r="H1241" s="139"/>
      <c r="I1241" s="139"/>
      <c r="J1241" s="39"/>
      <c r="K1241" s="139"/>
      <c r="L1241" s="39"/>
      <c r="M1241" s="139">
        <f t="shared" si="36"/>
        <v>0</v>
      </c>
      <c r="N1241" s="139"/>
      <c r="O1241" s="139"/>
      <c r="P1241" s="143"/>
      <c r="Q1241" s="39" t="s">
        <v>513</v>
      </c>
      <c r="R1241" s="39"/>
      <c r="S1241" s="39"/>
      <c r="T1241" s="39"/>
      <c r="U1241" s="39"/>
      <c r="V1241" s="39"/>
    </row>
    <row r="1242" spans="1:22">
      <c r="A1242" s="39"/>
      <c r="B1242" s="39"/>
      <c r="C1242" s="39"/>
      <c r="D1242" s="39"/>
      <c r="E1242" s="139"/>
      <c r="F1242" s="139"/>
      <c r="G1242" s="39"/>
      <c r="H1242" s="139"/>
      <c r="I1242" s="139"/>
      <c r="J1242" s="39"/>
      <c r="K1242" s="139"/>
      <c r="L1242" s="39"/>
      <c r="M1242" s="139">
        <f t="shared" si="36"/>
        <v>0</v>
      </c>
      <c r="N1242" s="139"/>
      <c r="O1242" s="139"/>
      <c r="P1242" s="143"/>
      <c r="Q1242" s="39" t="s">
        <v>513</v>
      </c>
      <c r="R1242" s="39"/>
      <c r="S1242" s="39"/>
      <c r="T1242" s="39"/>
      <c r="U1242" s="39"/>
      <c r="V1242" s="39"/>
    </row>
    <row r="1243" spans="1:22">
      <c r="A1243" s="39"/>
      <c r="B1243" s="39"/>
      <c r="C1243" s="39"/>
      <c r="D1243" s="39"/>
      <c r="E1243" s="139"/>
      <c r="F1243" s="139"/>
      <c r="G1243" s="39"/>
      <c r="H1243" s="139"/>
      <c r="I1243" s="139"/>
      <c r="J1243" s="39"/>
      <c r="K1243" s="139"/>
      <c r="L1243" s="39"/>
      <c r="M1243" s="139">
        <f t="shared" si="36"/>
        <v>0</v>
      </c>
      <c r="N1243" s="139"/>
      <c r="O1243" s="139"/>
      <c r="P1243" s="143"/>
      <c r="Q1243" s="39" t="s">
        <v>513</v>
      </c>
      <c r="R1243" s="39"/>
      <c r="S1243" s="39"/>
      <c r="T1243" s="39"/>
      <c r="U1243" s="39"/>
      <c r="V1243" s="39"/>
    </row>
    <row r="1244" spans="1:22">
      <c r="A1244" s="39"/>
      <c r="B1244" s="39"/>
      <c r="C1244" s="39"/>
      <c r="D1244" s="39"/>
      <c r="E1244" s="139"/>
      <c r="F1244" s="139"/>
      <c r="G1244" s="39"/>
      <c r="H1244" s="139"/>
      <c r="I1244" s="139"/>
      <c r="J1244" s="39"/>
      <c r="K1244" s="139"/>
      <c r="L1244" s="39"/>
      <c r="M1244" s="139">
        <f t="shared" si="36"/>
        <v>0</v>
      </c>
      <c r="N1244" s="139"/>
      <c r="O1244" s="139"/>
      <c r="P1244" s="143"/>
      <c r="Q1244" s="39" t="s">
        <v>513</v>
      </c>
      <c r="R1244" s="39"/>
      <c r="S1244" s="39"/>
      <c r="T1244" s="39"/>
      <c r="U1244" s="39"/>
      <c r="V1244" s="39"/>
    </row>
    <row r="1245" spans="1:22">
      <c r="A1245" s="39"/>
      <c r="B1245" s="39"/>
      <c r="C1245" s="39"/>
      <c r="D1245" s="39"/>
      <c r="E1245" s="139"/>
      <c r="F1245" s="139"/>
      <c r="G1245" s="39"/>
      <c r="H1245" s="139"/>
      <c r="I1245" s="139"/>
      <c r="J1245" s="39"/>
      <c r="K1245" s="139"/>
      <c r="L1245" s="39"/>
      <c r="M1245" s="139">
        <f t="shared" si="36"/>
        <v>0</v>
      </c>
      <c r="N1245" s="139"/>
      <c r="O1245" s="139"/>
      <c r="P1245" s="143"/>
      <c r="Q1245" s="39" t="s">
        <v>513</v>
      </c>
      <c r="R1245" s="39"/>
      <c r="S1245" s="39"/>
      <c r="T1245" s="39"/>
      <c r="U1245" s="39"/>
      <c r="V1245" s="39"/>
    </row>
    <row r="1246" spans="1:22">
      <c r="A1246" s="39"/>
      <c r="B1246" s="39"/>
      <c r="C1246" s="39"/>
      <c r="D1246" s="39"/>
      <c r="E1246" s="139"/>
      <c r="F1246" s="139"/>
      <c r="G1246" s="39"/>
      <c r="H1246" s="139"/>
      <c r="I1246" s="139"/>
      <c r="J1246" s="39"/>
      <c r="K1246" s="139"/>
      <c r="L1246" s="39"/>
      <c r="M1246" s="139">
        <f t="shared" si="36"/>
        <v>0</v>
      </c>
      <c r="N1246" s="139"/>
      <c r="O1246" s="139"/>
      <c r="P1246" s="143"/>
      <c r="Q1246" s="39" t="s">
        <v>513</v>
      </c>
      <c r="R1246" s="39"/>
      <c r="S1246" s="39"/>
      <c r="T1246" s="39"/>
      <c r="U1246" s="39"/>
      <c r="V1246" s="39"/>
    </row>
    <row r="1247" spans="1:22">
      <c r="A1247" s="39"/>
      <c r="B1247" s="39"/>
      <c r="C1247" s="39"/>
      <c r="D1247" s="39"/>
      <c r="E1247" s="139"/>
      <c r="F1247" s="139"/>
      <c r="G1247" s="39"/>
      <c r="H1247" s="139"/>
      <c r="I1247" s="139"/>
      <c r="J1247" s="39"/>
      <c r="K1247" s="139"/>
      <c r="L1247" s="39"/>
      <c r="M1247" s="139">
        <f t="shared" si="36"/>
        <v>0</v>
      </c>
      <c r="N1247" s="139"/>
      <c r="O1247" s="139"/>
      <c r="P1247" s="143"/>
      <c r="Q1247" s="39" t="s">
        <v>513</v>
      </c>
      <c r="R1247" s="39"/>
      <c r="S1247" s="39"/>
      <c r="T1247" s="39"/>
      <c r="U1247" s="39"/>
      <c r="V1247" s="39"/>
    </row>
    <row r="1248" spans="1:22">
      <c r="A1248" s="39"/>
      <c r="B1248" s="39"/>
      <c r="C1248" s="39"/>
      <c r="D1248" s="39"/>
      <c r="E1248" s="139"/>
      <c r="F1248" s="139"/>
      <c r="G1248" s="39"/>
      <c r="H1248" s="139"/>
      <c r="I1248" s="139"/>
      <c r="J1248" s="39"/>
      <c r="K1248" s="139"/>
      <c r="L1248" s="39"/>
      <c r="M1248" s="139">
        <f t="shared" si="36"/>
        <v>0</v>
      </c>
      <c r="N1248" s="139"/>
      <c r="O1248" s="139"/>
      <c r="P1248" s="143"/>
      <c r="Q1248" s="39" t="s">
        <v>513</v>
      </c>
      <c r="R1248" s="39"/>
      <c r="S1248" s="39"/>
      <c r="T1248" s="39"/>
      <c r="U1248" s="39"/>
      <c r="V1248" s="39"/>
    </row>
    <row r="1249" spans="1:22">
      <c r="A1249" s="39"/>
      <c r="B1249" s="39"/>
      <c r="C1249" s="39"/>
      <c r="D1249" s="39"/>
      <c r="E1249" s="139"/>
      <c r="F1249" s="139"/>
      <c r="G1249" s="39"/>
      <c r="H1249" s="139"/>
      <c r="I1249" s="139"/>
      <c r="J1249" s="39"/>
      <c r="K1249" s="139"/>
      <c r="L1249" s="39"/>
      <c r="M1249" s="139">
        <f t="shared" si="36"/>
        <v>0</v>
      </c>
      <c r="N1249" s="139"/>
      <c r="O1249" s="139"/>
      <c r="P1249" s="143"/>
      <c r="Q1249" s="39" t="s">
        <v>513</v>
      </c>
      <c r="R1249" s="39"/>
      <c r="S1249" s="39"/>
      <c r="T1249" s="39"/>
      <c r="U1249" s="39"/>
      <c r="V1249" s="39"/>
    </row>
    <row r="1250" spans="1:22">
      <c r="A1250" s="39"/>
      <c r="B1250" s="39"/>
      <c r="C1250" s="39"/>
      <c r="D1250" s="39"/>
      <c r="E1250" s="139"/>
      <c r="F1250" s="139"/>
      <c r="G1250" s="39"/>
      <c r="H1250" s="139"/>
      <c r="I1250" s="139"/>
      <c r="J1250" s="39"/>
      <c r="K1250" s="139"/>
      <c r="L1250" s="39"/>
      <c r="M1250" s="139">
        <f t="shared" si="36"/>
        <v>0</v>
      </c>
      <c r="N1250" s="139"/>
      <c r="O1250" s="139"/>
      <c r="P1250" s="143"/>
      <c r="Q1250" s="39" t="s">
        <v>513</v>
      </c>
      <c r="R1250" s="39"/>
      <c r="S1250" s="39"/>
      <c r="T1250" s="39"/>
      <c r="U1250" s="39"/>
      <c r="V1250" s="39"/>
    </row>
    <row r="1251" spans="1:22">
      <c r="A1251" s="39"/>
      <c r="B1251" s="39"/>
      <c r="C1251" s="39"/>
      <c r="D1251" s="39"/>
      <c r="E1251" s="139"/>
      <c r="F1251" s="139"/>
      <c r="G1251" s="39"/>
      <c r="H1251" s="139"/>
      <c r="I1251" s="139"/>
      <c r="J1251" s="39"/>
      <c r="K1251" s="139"/>
      <c r="L1251" s="39"/>
      <c r="M1251" s="139">
        <f t="shared" si="36"/>
        <v>0</v>
      </c>
      <c r="N1251" s="139"/>
      <c r="O1251" s="139"/>
      <c r="P1251" s="143"/>
      <c r="Q1251" s="39" t="s">
        <v>513</v>
      </c>
      <c r="R1251" s="39"/>
      <c r="S1251" s="39"/>
      <c r="T1251" s="39"/>
      <c r="U1251" s="39"/>
      <c r="V1251" s="39"/>
    </row>
    <row r="1252" spans="1:22">
      <c r="A1252" s="39"/>
      <c r="B1252" s="39"/>
      <c r="C1252" s="39"/>
      <c r="D1252" s="39"/>
      <c r="E1252" s="139"/>
      <c r="F1252" s="139"/>
      <c r="G1252" s="39"/>
      <c r="H1252" s="139"/>
      <c r="I1252" s="139"/>
      <c r="J1252" s="39"/>
      <c r="K1252" s="139"/>
      <c r="L1252" s="39"/>
      <c r="M1252" s="139">
        <f t="shared" si="36"/>
        <v>0</v>
      </c>
      <c r="N1252" s="139"/>
      <c r="O1252" s="139"/>
      <c r="P1252" s="143"/>
      <c r="Q1252" s="39" t="s">
        <v>513</v>
      </c>
      <c r="R1252" s="39"/>
      <c r="S1252" s="39"/>
      <c r="T1252" s="39"/>
      <c r="U1252" s="39"/>
      <c r="V1252" s="39"/>
    </row>
    <row r="1253" spans="1:22">
      <c r="A1253" s="39"/>
      <c r="B1253" s="39"/>
      <c r="C1253" s="39"/>
      <c r="D1253" s="39"/>
      <c r="E1253" s="139"/>
      <c r="F1253" s="139"/>
      <c r="G1253" s="39"/>
      <c r="H1253" s="139"/>
      <c r="I1253" s="139"/>
      <c r="J1253" s="39"/>
      <c r="K1253" s="139"/>
      <c r="L1253" s="39"/>
      <c r="M1253" s="139">
        <f t="shared" si="36"/>
        <v>0</v>
      </c>
      <c r="N1253" s="139"/>
      <c r="O1253" s="139"/>
      <c r="P1253" s="143"/>
      <c r="Q1253" s="39" t="s">
        <v>513</v>
      </c>
      <c r="R1253" s="39"/>
      <c r="S1253" s="39"/>
      <c r="T1253" s="39"/>
      <c r="U1253" s="39"/>
      <c r="V1253" s="39"/>
    </row>
    <row r="1254" spans="1:22">
      <c r="A1254" s="39"/>
      <c r="B1254" s="39"/>
      <c r="C1254" s="39"/>
      <c r="D1254" s="39"/>
      <c r="E1254" s="139"/>
      <c r="F1254" s="139"/>
      <c r="G1254" s="39"/>
      <c r="H1254" s="139"/>
      <c r="I1254" s="139"/>
      <c r="J1254" s="39"/>
      <c r="K1254" s="139"/>
      <c r="L1254" s="39"/>
      <c r="M1254" s="139">
        <f t="shared" si="36"/>
        <v>0</v>
      </c>
      <c r="N1254" s="139"/>
      <c r="O1254" s="139"/>
      <c r="P1254" s="143"/>
      <c r="Q1254" s="39" t="s">
        <v>513</v>
      </c>
      <c r="R1254" s="39"/>
      <c r="S1254" s="39"/>
      <c r="T1254" s="39"/>
      <c r="U1254" s="39"/>
      <c r="V1254" s="39"/>
    </row>
    <row r="1255" spans="1:22">
      <c r="A1255" s="39"/>
      <c r="B1255" s="39"/>
      <c r="C1255" s="39"/>
      <c r="D1255" s="39"/>
      <c r="E1255" s="139"/>
      <c r="F1255" s="139"/>
      <c r="G1255" s="39"/>
      <c r="H1255" s="139"/>
      <c r="I1255" s="139"/>
      <c r="J1255" s="39"/>
      <c r="K1255" s="139"/>
      <c r="L1255" s="39"/>
      <c r="M1255" s="139">
        <f t="shared" si="36"/>
        <v>0</v>
      </c>
      <c r="N1255" s="139"/>
      <c r="O1255" s="139"/>
      <c r="P1255" s="143"/>
      <c r="Q1255" s="39" t="s">
        <v>513</v>
      </c>
      <c r="R1255" s="39"/>
      <c r="S1255" s="39"/>
      <c r="T1255" s="39"/>
      <c r="U1255" s="39"/>
      <c r="V1255" s="39"/>
    </row>
    <row r="1256" spans="1:22">
      <c r="A1256" s="39"/>
      <c r="B1256" s="39"/>
      <c r="C1256" s="39"/>
      <c r="D1256" s="39"/>
      <c r="E1256" s="139"/>
      <c r="F1256" s="139"/>
      <c r="G1256" s="39"/>
      <c r="H1256" s="139"/>
      <c r="I1256" s="139"/>
      <c r="J1256" s="39"/>
      <c r="K1256" s="139"/>
      <c r="L1256" s="39"/>
      <c r="M1256" s="139">
        <f t="shared" si="36"/>
        <v>0</v>
      </c>
      <c r="N1256" s="139"/>
      <c r="O1256" s="139"/>
      <c r="P1256" s="143"/>
      <c r="Q1256" s="39" t="s">
        <v>513</v>
      </c>
      <c r="R1256" s="39"/>
      <c r="S1256" s="39"/>
      <c r="T1256" s="39"/>
      <c r="U1256" s="39"/>
      <c r="V1256" s="39"/>
    </row>
    <row r="1257" spans="1:22">
      <c r="A1257" s="39"/>
      <c r="B1257" s="39"/>
      <c r="C1257" s="39"/>
      <c r="D1257" s="39"/>
      <c r="E1257" s="139"/>
      <c r="F1257" s="139"/>
      <c r="G1257" s="39"/>
      <c r="H1257" s="139"/>
      <c r="I1257" s="139"/>
      <c r="J1257" s="39"/>
      <c r="K1257" s="139"/>
      <c r="L1257" s="39"/>
      <c r="M1257" s="139">
        <f t="shared" si="36"/>
        <v>0</v>
      </c>
      <c r="N1257" s="139"/>
      <c r="O1257" s="139"/>
      <c r="P1257" s="143"/>
      <c r="Q1257" s="39" t="s">
        <v>513</v>
      </c>
      <c r="R1257" s="39"/>
      <c r="S1257" s="39"/>
      <c r="T1257" s="39"/>
      <c r="U1257" s="39"/>
      <c r="V1257" s="39"/>
    </row>
    <row r="1258" spans="1:22">
      <c r="A1258" s="39"/>
      <c r="B1258" s="39"/>
      <c r="C1258" s="39"/>
      <c r="D1258" s="39"/>
      <c r="E1258" s="139"/>
      <c r="F1258" s="139"/>
      <c r="G1258" s="39"/>
      <c r="H1258" s="139"/>
      <c r="I1258" s="139"/>
      <c r="J1258" s="39"/>
      <c r="K1258" s="139"/>
      <c r="L1258" s="39"/>
      <c r="M1258" s="139">
        <f t="shared" si="36"/>
        <v>0</v>
      </c>
      <c r="N1258" s="139"/>
      <c r="O1258" s="139"/>
      <c r="P1258" s="143"/>
      <c r="Q1258" s="39" t="s">
        <v>513</v>
      </c>
      <c r="R1258" s="39"/>
      <c r="S1258" s="39"/>
      <c r="T1258" s="39"/>
      <c r="U1258" s="39"/>
      <c r="V1258" s="39"/>
    </row>
    <row r="1259" spans="1:22">
      <c r="A1259" s="39"/>
      <c r="B1259" s="39"/>
      <c r="C1259" s="39"/>
      <c r="D1259" s="39"/>
      <c r="E1259" s="139"/>
      <c r="F1259" s="139"/>
      <c r="G1259" s="39"/>
      <c r="H1259" s="139"/>
      <c r="I1259" s="139"/>
      <c r="J1259" s="39"/>
      <c r="K1259" s="139"/>
      <c r="L1259" s="39"/>
      <c r="M1259" s="139">
        <f t="shared" si="36"/>
        <v>0</v>
      </c>
      <c r="N1259" s="139"/>
      <c r="O1259" s="139"/>
      <c r="P1259" s="143"/>
      <c r="Q1259" s="39" t="s">
        <v>513</v>
      </c>
      <c r="R1259" s="39"/>
      <c r="S1259" s="39"/>
      <c r="T1259" s="39"/>
      <c r="U1259" s="39"/>
      <c r="V1259" s="39"/>
    </row>
    <row r="1260" spans="1:22">
      <c r="A1260" s="39"/>
      <c r="B1260" s="39"/>
      <c r="C1260" s="39"/>
      <c r="D1260" s="39"/>
      <c r="E1260" s="139"/>
      <c r="F1260" s="139"/>
      <c r="G1260" s="39"/>
      <c r="H1260" s="139"/>
      <c r="I1260" s="139"/>
      <c r="J1260" s="39"/>
      <c r="K1260" s="139"/>
      <c r="L1260" s="39"/>
      <c r="M1260" s="139">
        <f t="shared" si="36"/>
        <v>0</v>
      </c>
      <c r="N1260" s="139"/>
      <c r="O1260" s="139"/>
      <c r="P1260" s="143"/>
      <c r="Q1260" s="39" t="s">
        <v>513</v>
      </c>
      <c r="R1260" s="39"/>
      <c r="S1260" s="39"/>
      <c r="T1260" s="39"/>
      <c r="U1260" s="39"/>
      <c r="V1260" s="39"/>
    </row>
    <row r="1261" spans="1:22">
      <c r="A1261" s="39"/>
      <c r="B1261" s="39"/>
      <c r="C1261" s="39"/>
      <c r="D1261" s="39"/>
      <c r="E1261" s="139"/>
      <c r="F1261" s="139"/>
      <c r="G1261" s="39"/>
      <c r="H1261" s="139"/>
      <c r="I1261" s="139"/>
      <c r="J1261" s="39"/>
      <c r="K1261" s="139"/>
      <c r="L1261" s="39"/>
      <c r="M1261" s="139">
        <f t="shared" si="36"/>
        <v>0</v>
      </c>
      <c r="N1261" s="139"/>
      <c r="O1261" s="139"/>
      <c r="P1261" s="143"/>
      <c r="Q1261" s="39" t="s">
        <v>513</v>
      </c>
      <c r="R1261" s="39"/>
      <c r="S1261" s="39"/>
      <c r="T1261" s="39"/>
      <c r="U1261" s="39"/>
      <c r="V1261" s="39"/>
    </row>
    <row r="1262" spans="1:22">
      <c r="A1262" s="39"/>
      <c r="B1262" s="39"/>
      <c r="C1262" s="39"/>
      <c r="D1262" s="39"/>
      <c r="E1262" s="139"/>
      <c r="F1262" s="139"/>
      <c r="G1262" s="39"/>
      <c r="H1262" s="139"/>
      <c r="I1262" s="139"/>
      <c r="J1262" s="39"/>
      <c r="K1262" s="139"/>
      <c r="L1262" s="39"/>
      <c r="M1262" s="139">
        <f t="shared" si="36"/>
        <v>0</v>
      </c>
      <c r="N1262" s="139"/>
      <c r="O1262" s="139"/>
      <c r="P1262" s="143"/>
      <c r="Q1262" s="39" t="s">
        <v>513</v>
      </c>
      <c r="R1262" s="39"/>
      <c r="S1262" s="39"/>
      <c r="T1262" s="39"/>
      <c r="U1262" s="39"/>
      <c r="V1262" s="39"/>
    </row>
    <row r="1263" spans="1:22">
      <c r="A1263" s="39"/>
      <c r="B1263" s="39"/>
      <c r="C1263" s="39"/>
      <c r="D1263" s="39"/>
      <c r="E1263" s="139"/>
      <c r="F1263" s="139"/>
      <c r="G1263" s="39"/>
      <c r="H1263" s="139"/>
      <c r="I1263" s="139"/>
      <c r="J1263" s="39"/>
      <c r="K1263" s="139"/>
      <c r="L1263" s="39"/>
      <c r="M1263" s="139">
        <f t="shared" si="36"/>
        <v>0</v>
      </c>
      <c r="N1263" s="139"/>
      <c r="O1263" s="139"/>
      <c r="P1263" s="143"/>
      <c r="Q1263" s="39" t="s">
        <v>513</v>
      </c>
      <c r="R1263" s="39"/>
      <c r="S1263" s="39"/>
      <c r="T1263" s="39"/>
      <c r="U1263" s="39"/>
      <c r="V1263" s="39"/>
    </row>
    <row r="1264" spans="1:22">
      <c r="A1264" s="39"/>
      <c r="B1264" s="39"/>
      <c r="C1264" s="39"/>
      <c r="D1264" s="39"/>
      <c r="E1264" s="139"/>
      <c r="F1264" s="139"/>
      <c r="G1264" s="39"/>
      <c r="H1264" s="139"/>
      <c r="I1264" s="139"/>
      <c r="J1264" s="39"/>
      <c r="K1264" s="139"/>
      <c r="L1264" s="39"/>
      <c r="M1264" s="139">
        <f t="shared" si="36"/>
        <v>0</v>
      </c>
      <c r="N1264" s="139"/>
      <c r="O1264" s="139"/>
      <c r="P1264" s="143"/>
      <c r="Q1264" s="39" t="s">
        <v>513</v>
      </c>
      <c r="R1264" s="39"/>
      <c r="S1264" s="39"/>
      <c r="T1264" s="39"/>
      <c r="U1264" s="39"/>
      <c r="V1264" s="39"/>
    </row>
    <row r="1265" spans="1:22">
      <c r="A1265" s="39"/>
      <c r="B1265" s="39"/>
      <c r="C1265" s="39"/>
      <c r="D1265" s="39"/>
      <c r="E1265" s="139"/>
      <c r="F1265" s="139"/>
      <c r="G1265" s="39"/>
      <c r="H1265" s="139"/>
      <c r="I1265" s="139"/>
      <c r="J1265" s="39"/>
      <c r="K1265" s="139"/>
      <c r="L1265" s="39"/>
      <c r="M1265" s="139">
        <f t="shared" si="36"/>
        <v>0</v>
      </c>
      <c r="N1265" s="139"/>
      <c r="O1265" s="139"/>
      <c r="P1265" s="143"/>
      <c r="Q1265" s="39" t="s">
        <v>513</v>
      </c>
      <c r="R1265" s="39"/>
      <c r="S1265" s="39"/>
      <c r="T1265" s="39"/>
      <c r="U1265" s="39"/>
      <c r="V1265" s="39"/>
    </row>
    <row r="1266" spans="1:22">
      <c r="A1266" s="39"/>
      <c r="B1266" s="39"/>
      <c r="C1266" s="39"/>
      <c r="D1266" s="39"/>
      <c r="E1266" s="139"/>
      <c r="F1266" s="139"/>
      <c r="G1266" s="39"/>
      <c r="H1266" s="139"/>
      <c r="I1266" s="139"/>
      <c r="J1266" s="39"/>
      <c r="K1266" s="139"/>
      <c r="L1266" s="39"/>
      <c r="M1266" s="139">
        <f t="shared" si="36"/>
        <v>0</v>
      </c>
      <c r="N1266" s="139"/>
      <c r="O1266" s="139"/>
      <c r="P1266" s="143"/>
      <c r="Q1266" s="39" t="s">
        <v>513</v>
      </c>
      <c r="R1266" s="39"/>
      <c r="S1266" s="39"/>
      <c r="T1266" s="39"/>
      <c r="U1266" s="39"/>
      <c r="V1266" s="39"/>
    </row>
    <row r="1267" spans="1:22">
      <c r="A1267" s="39"/>
      <c r="B1267" s="39"/>
      <c r="C1267" s="39"/>
      <c r="D1267" s="39"/>
      <c r="E1267" s="139"/>
      <c r="F1267" s="139"/>
      <c r="G1267" s="39"/>
      <c r="H1267" s="139"/>
      <c r="I1267" s="139"/>
      <c r="J1267" s="39"/>
      <c r="K1267" s="139"/>
      <c r="L1267" s="39"/>
      <c r="M1267" s="139">
        <f t="shared" si="36"/>
        <v>0</v>
      </c>
      <c r="N1267" s="139"/>
      <c r="O1267" s="139"/>
      <c r="P1267" s="143"/>
      <c r="Q1267" s="39" t="s">
        <v>513</v>
      </c>
      <c r="R1267" s="39"/>
      <c r="S1267" s="39"/>
      <c r="T1267" s="39"/>
      <c r="U1267" s="39"/>
      <c r="V1267" s="39"/>
    </row>
    <row r="1268" spans="1:22">
      <c r="A1268" s="39"/>
      <c r="B1268" s="39"/>
      <c r="C1268" s="39"/>
      <c r="D1268" s="39"/>
      <c r="E1268" s="139"/>
      <c r="F1268" s="139"/>
      <c r="G1268" s="39"/>
      <c r="H1268" s="139"/>
      <c r="I1268" s="139"/>
      <c r="J1268" s="39"/>
      <c r="K1268" s="139"/>
      <c r="L1268" s="39"/>
      <c r="M1268" s="139">
        <f t="shared" si="36"/>
        <v>0</v>
      </c>
      <c r="N1268" s="139"/>
      <c r="O1268" s="139"/>
      <c r="P1268" s="143"/>
      <c r="Q1268" s="39" t="s">
        <v>513</v>
      </c>
      <c r="R1268" s="39"/>
      <c r="S1268" s="39"/>
      <c r="T1268" s="39"/>
      <c r="U1268" s="39"/>
      <c r="V1268" s="39"/>
    </row>
    <row r="1269" spans="1:22">
      <c r="A1269" s="39"/>
      <c r="B1269" s="39"/>
      <c r="C1269" s="39"/>
      <c r="D1269" s="39"/>
      <c r="E1269" s="139"/>
      <c r="F1269" s="139"/>
      <c r="G1269" s="39"/>
      <c r="H1269" s="139"/>
      <c r="I1269" s="139"/>
      <c r="J1269" s="39"/>
      <c r="K1269" s="139"/>
      <c r="L1269" s="39"/>
      <c r="M1269" s="139">
        <f t="shared" si="36"/>
        <v>0</v>
      </c>
      <c r="N1269" s="139"/>
      <c r="O1269" s="139"/>
      <c r="P1269" s="143"/>
      <c r="Q1269" s="39" t="s">
        <v>513</v>
      </c>
      <c r="R1269" s="39"/>
      <c r="S1269" s="39"/>
      <c r="T1269" s="39"/>
      <c r="U1269" s="39"/>
      <c r="V1269" s="39"/>
    </row>
    <row r="1270" spans="1:22">
      <c r="A1270" s="39"/>
      <c r="B1270" s="39"/>
      <c r="C1270" s="39"/>
      <c r="D1270" s="39"/>
      <c r="E1270" s="139"/>
      <c r="F1270" s="139"/>
      <c r="G1270" s="39"/>
      <c r="H1270" s="139"/>
      <c r="I1270" s="139"/>
      <c r="J1270" s="39"/>
      <c r="K1270" s="139"/>
      <c r="L1270" s="39"/>
      <c r="M1270" s="139">
        <f t="shared" si="36"/>
        <v>0</v>
      </c>
      <c r="N1270" s="139"/>
      <c r="O1270" s="139"/>
      <c r="P1270" s="143"/>
      <c r="Q1270" s="39" t="s">
        <v>513</v>
      </c>
      <c r="R1270" s="39"/>
      <c r="S1270" s="39"/>
      <c r="T1270" s="39"/>
      <c r="U1270" s="39"/>
      <c r="V1270" s="39"/>
    </row>
    <row r="1271" spans="1:22">
      <c r="A1271" s="39"/>
      <c r="B1271" s="39"/>
      <c r="C1271" s="39"/>
      <c r="D1271" s="39"/>
      <c r="E1271" s="139"/>
      <c r="F1271" s="139"/>
      <c r="G1271" s="39"/>
      <c r="H1271" s="139"/>
      <c r="I1271" s="139"/>
      <c r="J1271" s="39"/>
      <c r="K1271" s="139"/>
      <c r="L1271" s="39"/>
      <c r="M1271" s="139">
        <f t="shared" si="36"/>
        <v>0</v>
      </c>
      <c r="N1271" s="139"/>
      <c r="O1271" s="139"/>
      <c r="P1271" s="143"/>
      <c r="Q1271" s="39" t="s">
        <v>513</v>
      </c>
      <c r="R1271" s="39"/>
      <c r="S1271" s="39"/>
      <c r="T1271" s="39"/>
      <c r="U1271" s="39"/>
      <c r="V1271" s="39"/>
    </row>
    <row r="1272" spans="1:22">
      <c r="A1272" s="39"/>
      <c r="B1272" s="39"/>
      <c r="C1272" s="39"/>
      <c r="D1272" s="39"/>
      <c r="E1272" s="139"/>
      <c r="F1272" s="139"/>
      <c r="G1272" s="39"/>
      <c r="H1272" s="139"/>
      <c r="I1272" s="139"/>
      <c r="J1272" s="39"/>
      <c r="K1272" s="139"/>
      <c r="L1272" s="39"/>
      <c r="M1272" s="139">
        <f t="shared" si="36"/>
        <v>0</v>
      </c>
      <c r="N1272" s="139"/>
      <c r="O1272" s="139"/>
      <c r="P1272" s="143"/>
      <c r="Q1272" s="39" t="s">
        <v>513</v>
      </c>
      <c r="R1272" s="39"/>
      <c r="S1272" s="39"/>
      <c r="T1272" s="39"/>
      <c r="U1272" s="39"/>
      <c r="V1272" s="39"/>
    </row>
    <row r="1273" spans="1:22">
      <c r="A1273" s="39"/>
      <c r="B1273" s="39"/>
      <c r="C1273" s="39"/>
      <c r="D1273" s="39"/>
      <c r="E1273" s="139"/>
      <c r="F1273" s="139"/>
      <c r="G1273" s="39"/>
      <c r="H1273" s="139"/>
      <c r="I1273" s="139"/>
      <c r="J1273" s="39"/>
      <c r="K1273" s="139"/>
      <c r="L1273" s="39"/>
      <c r="M1273" s="139">
        <f t="shared" si="36"/>
        <v>0</v>
      </c>
      <c r="N1273" s="139"/>
      <c r="O1273" s="139"/>
      <c r="P1273" s="143"/>
      <c r="Q1273" s="39" t="s">
        <v>513</v>
      </c>
      <c r="R1273" s="39"/>
      <c r="S1273" s="39"/>
      <c r="T1273" s="39"/>
      <c r="U1273" s="39"/>
      <c r="V1273" s="39"/>
    </row>
    <row r="1274" spans="1:22">
      <c r="A1274" s="39"/>
      <c r="B1274" s="39"/>
      <c r="C1274" s="39"/>
      <c r="D1274" s="39"/>
      <c r="E1274" s="139"/>
      <c r="F1274" s="139"/>
      <c r="G1274" s="39"/>
      <c r="H1274" s="139"/>
      <c r="I1274" s="139"/>
      <c r="J1274" s="39"/>
      <c r="K1274" s="139"/>
      <c r="L1274" s="39"/>
      <c r="M1274" s="139">
        <f t="shared" si="36"/>
        <v>0</v>
      </c>
      <c r="N1274" s="139"/>
      <c r="O1274" s="139"/>
      <c r="P1274" s="143"/>
      <c r="Q1274" s="39" t="s">
        <v>513</v>
      </c>
      <c r="R1274" s="39"/>
      <c r="S1274" s="39"/>
      <c r="T1274" s="39"/>
      <c r="U1274" s="39"/>
      <c r="V1274" s="39"/>
    </row>
    <row r="1275" spans="1:22">
      <c r="A1275" s="39"/>
      <c r="B1275" s="39"/>
      <c r="C1275" s="39"/>
      <c r="D1275" s="39"/>
      <c r="E1275" s="139"/>
      <c r="F1275" s="139"/>
      <c r="G1275" s="39"/>
      <c r="H1275" s="139"/>
      <c r="I1275" s="139"/>
      <c r="J1275" s="39"/>
      <c r="K1275" s="139"/>
      <c r="L1275" s="39"/>
      <c r="M1275" s="139">
        <f t="shared" si="36"/>
        <v>0</v>
      </c>
      <c r="N1275" s="139"/>
      <c r="O1275" s="139"/>
      <c r="P1275" s="143"/>
      <c r="Q1275" s="39" t="s">
        <v>513</v>
      </c>
      <c r="R1275" s="39"/>
      <c r="S1275" s="39"/>
      <c r="T1275" s="39"/>
      <c r="U1275" s="39"/>
      <c r="V1275" s="39"/>
    </row>
    <row r="1276" spans="1:22">
      <c r="A1276" s="39"/>
      <c r="B1276" s="39"/>
      <c r="C1276" s="39"/>
      <c r="D1276" s="39"/>
      <c r="E1276" s="139"/>
      <c r="F1276" s="139"/>
      <c r="G1276" s="39"/>
      <c r="H1276" s="139"/>
      <c r="I1276" s="139"/>
      <c r="J1276" s="39"/>
      <c r="K1276" s="139"/>
      <c r="L1276" s="39"/>
      <c r="M1276" s="139">
        <f t="shared" si="36"/>
        <v>0</v>
      </c>
      <c r="N1276" s="139"/>
      <c r="O1276" s="139"/>
      <c r="P1276" s="143"/>
      <c r="Q1276" s="39" t="s">
        <v>513</v>
      </c>
      <c r="R1276" s="39"/>
      <c r="S1276" s="39"/>
      <c r="T1276" s="39"/>
      <c r="U1276" s="39"/>
      <c r="V1276" s="39"/>
    </row>
    <row r="1277" spans="1:22">
      <c r="A1277" s="39"/>
      <c r="B1277" s="39"/>
      <c r="C1277" s="39"/>
      <c r="D1277" s="39"/>
      <c r="E1277" s="139"/>
      <c r="F1277" s="139"/>
      <c r="G1277" s="39"/>
      <c r="H1277" s="139"/>
      <c r="I1277" s="139"/>
      <c r="J1277" s="39"/>
      <c r="K1277" s="139"/>
      <c r="L1277" s="39"/>
      <c r="M1277" s="139">
        <f t="shared" si="36"/>
        <v>0</v>
      </c>
      <c r="N1277" s="139"/>
      <c r="O1277" s="139"/>
      <c r="P1277" s="143"/>
      <c r="Q1277" s="39" t="s">
        <v>513</v>
      </c>
      <c r="R1277" s="39"/>
      <c r="S1277" s="39"/>
      <c r="T1277" s="39"/>
      <c r="U1277" s="39"/>
      <c r="V1277" s="39"/>
    </row>
    <row r="1278" spans="1:22">
      <c r="A1278" s="39"/>
      <c r="B1278" s="39"/>
      <c r="C1278" s="39"/>
      <c r="D1278" s="39"/>
      <c r="E1278" s="139"/>
      <c r="F1278" s="139"/>
      <c r="G1278" s="39"/>
      <c r="H1278" s="139"/>
      <c r="I1278" s="139"/>
      <c r="J1278" s="39"/>
      <c r="K1278" s="139"/>
      <c r="L1278" s="39"/>
      <c r="M1278" s="139">
        <f t="shared" si="36"/>
        <v>0</v>
      </c>
      <c r="N1278" s="139"/>
      <c r="O1278" s="139"/>
      <c r="P1278" s="143"/>
      <c r="Q1278" s="39" t="s">
        <v>513</v>
      </c>
      <c r="R1278" s="39"/>
      <c r="S1278" s="39"/>
      <c r="T1278" s="39"/>
      <c r="U1278" s="39"/>
      <c r="V1278" s="39"/>
    </row>
    <row r="1279" spans="1:22">
      <c r="A1279" s="39"/>
      <c r="B1279" s="39"/>
      <c r="C1279" s="39"/>
      <c r="D1279" s="39"/>
      <c r="E1279" s="139"/>
      <c r="F1279" s="139"/>
      <c r="G1279" s="39"/>
      <c r="H1279" s="139"/>
      <c r="I1279" s="139"/>
      <c r="J1279" s="39"/>
      <c r="K1279" s="139"/>
      <c r="L1279" s="39"/>
      <c r="M1279" s="139">
        <f t="shared" si="36"/>
        <v>0</v>
      </c>
      <c r="N1279" s="139"/>
      <c r="O1279" s="139"/>
      <c r="P1279" s="143"/>
      <c r="Q1279" s="39" t="s">
        <v>513</v>
      </c>
      <c r="R1279" s="39"/>
      <c r="S1279" s="39"/>
      <c r="T1279" s="39"/>
      <c r="U1279" s="39"/>
      <c r="V1279" s="39"/>
    </row>
    <row r="1280" spans="1:22">
      <c r="A1280" s="39"/>
      <c r="B1280" s="39"/>
      <c r="C1280" s="39"/>
      <c r="D1280" s="39"/>
      <c r="E1280" s="139"/>
      <c r="F1280" s="139"/>
      <c r="G1280" s="39"/>
      <c r="H1280" s="139"/>
      <c r="I1280" s="139"/>
      <c r="J1280" s="39"/>
      <c r="K1280" s="139"/>
      <c r="L1280" s="39"/>
      <c r="M1280" s="139">
        <f t="shared" si="36"/>
        <v>0</v>
      </c>
      <c r="N1280" s="139"/>
      <c r="O1280" s="139"/>
      <c r="P1280" s="143"/>
      <c r="Q1280" s="39" t="s">
        <v>513</v>
      </c>
      <c r="R1280" s="39"/>
      <c r="S1280" s="39"/>
      <c r="T1280" s="39"/>
      <c r="U1280" s="39"/>
      <c r="V1280" s="39"/>
    </row>
    <row r="1281" spans="1:22">
      <c r="A1281" s="39"/>
      <c r="B1281" s="39"/>
      <c r="C1281" s="39"/>
      <c r="D1281" s="39"/>
      <c r="E1281" s="139"/>
      <c r="F1281" s="139"/>
      <c r="G1281" s="39"/>
      <c r="H1281" s="139"/>
      <c r="I1281" s="139"/>
      <c r="J1281" s="39"/>
      <c r="K1281" s="139"/>
      <c r="L1281" s="39"/>
      <c r="M1281" s="139">
        <f t="shared" si="36"/>
        <v>0</v>
      </c>
      <c r="N1281" s="139"/>
      <c r="O1281" s="139"/>
      <c r="P1281" s="143"/>
      <c r="Q1281" s="39" t="s">
        <v>513</v>
      </c>
      <c r="R1281" s="39"/>
      <c r="S1281" s="39"/>
      <c r="T1281" s="39"/>
      <c r="U1281" s="39"/>
      <c r="V1281" s="39"/>
    </row>
    <row r="1282" spans="1:22">
      <c r="A1282" s="39"/>
      <c r="B1282" s="39"/>
      <c r="C1282" s="39"/>
      <c r="D1282" s="39"/>
      <c r="E1282" s="139"/>
      <c r="F1282" s="139"/>
      <c r="G1282" s="39"/>
      <c r="H1282" s="139"/>
      <c r="I1282" s="139"/>
      <c r="J1282" s="39"/>
      <c r="K1282" s="139"/>
      <c r="L1282" s="39"/>
      <c r="M1282" s="139">
        <f t="shared" si="36"/>
        <v>0</v>
      </c>
      <c r="N1282" s="139"/>
      <c r="O1282" s="139"/>
      <c r="P1282" s="143"/>
      <c r="Q1282" s="39" t="s">
        <v>513</v>
      </c>
      <c r="R1282" s="39"/>
      <c r="S1282" s="39"/>
      <c r="T1282" s="39"/>
      <c r="U1282" s="39"/>
      <c r="V1282" s="39"/>
    </row>
    <row r="1283" spans="1:22">
      <c r="A1283" s="39"/>
      <c r="B1283" s="39"/>
      <c r="C1283" s="39"/>
      <c r="D1283" s="39"/>
      <c r="E1283" s="139"/>
      <c r="F1283" s="139"/>
      <c r="G1283" s="39"/>
      <c r="H1283" s="139"/>
      <c r="I1283" s="139"/>
      <c r="J1283" s="39"/>
      <c r="K1283" s="139"/>
      <c r="L1283" s="39"/>
      <c r="M1283" s="139">
        <f t="shared" si="36"/>
        <v>0</v>
      </c>
      <c r="N1283" s="139"/>
      <c r="O1283" s="139"/>
      <c r="P1283" s="143"/>
      <c r="Q1283" s="39" t="s">
        <v>513</v>
      </c>
      <c r="R1283" s="39"/>
      <c r="S1283" s="39"/>
      <c r="T1283" s="39"/>
      <c r="U1283" s="39"/>
      <c r="V1283" s="39"/>
    </row>
    <row r="1284" spans="1:22">
      <c r="A1284" s="39"/>
      <c r="B1284" s="39"/>
      <c r="C1284" s="39"/>
      <c r="D1284" s="39"/>
      <c r="E1284" s="139"/>
      <c r="F1284" s="139"/>
      <c r="G1284" s="39"/>
      <c r="H1284" s="139"/>
      <c r="I1284" s="139"/>
      <c r="J1284" s="39"/>
      <c r="K1284" s="139"/>
      <c r="L1284" s="39"/>
      <c r="M1284" s="139">
        <f t="shared" si="36"/>
        <v>0</v>
      </c>
      <c r="N1284" s="139"/>
      <c r="O1284" s="139"/>
      <c r="P1284" s="143"/>
      <c r="Q1284" s="39" t="s">
        <v>513</v>
      </c>
      <c r="R1284" s="39"/>
      <c r="S1284" s="39"/>
      <c r="T1284" s="39"/>
      <c r="U1284" s="39"/>
      <c r="V1284" s="39"/>
    </row>
    <row r="1285" spans="1:22">
      <c r="A1285" s="39"/>
      <c r="B1285" s="39"/>
      <c r="C1285" s="39"/>
      <c r="D1285" s="39"/>
      <c r="E1285" s="139"/>
      <c r="F1285" s="139"/>
      <c r="G1285" s="39"/>
      <c r="H1285" s="139"/>
      <c r="I1285" s="139"/>
      <c r="J1285" s="39"/>
      <c r="K1285" s="139"/>
      <c r="L1285" s="39"/>
      <c r="M1285" s="139">
        <f t="shared" si="36"/>
        <v>0</v>
      </c>
      <c r="N1285" s="139"/>
      <c r="O1285" s="139"/>
      <c r="P1285" s="143"/>
      <c r="Q1285" s="39" t="s">
        <v>513</v>
      </c>
      <c r="R1285" s="39"/>
      <c r="S1285" s="39"/>
      <c r="T1285" s="39"/>
      <c r="U1285" s="39"/>
      <c r="V1285" s="39"/>
    </row>
    <row r="1286" spans="1:22">
      <c r="A1286" s="39"/>
      <c r="B1286" s="39"/>
      <c r="C1286" s="39"/>
      <c r="D1286" s="39"/>
      <c r="E1286" s="139"/>
      <c r="F1286" s="139"/>
      <c r="G1286" s="39"/>
      <c r="H1286" s="139"/>
      <c r="I1286" s="139"/>
      <c r="J1286" s="39"/>
      <c r="K1286" s="139"/>
      <c r="L1286" s="39"/>
      <c r="M1286" s="139">
        <f t="shared" si="36"/>
        <v>0</v>
      </c>
      <c r="N1286" s="139"/>
      <c r="O1286" s="139"/>
      <c r="P1286" s="143"/>
      <c r="Q1286" s="39" t="s">
        <v>513</v>
      </c>
      <c r="R1286" s="39"/>
      <c r="S1286" s="39"/>
      <c r="T1286" s="39"/>
      <c r="U1286" s="39"/>
      <c r="V1286" s="39"/>
    </row>
    <row r="1287" spans="1:22">
      <c r="A1287" s="39"/>
      <c r="B1287" s="39"/>
      <c r="C1287" s="39"/>
      <c r="D1287" s="39"/>
      <c r="E1287" s="139"/>
      <c r="F1287" s="139"/>
      <c r="G1287" s="39"/>
      <c r="H1287" s="139"/>
      <c r="I1287" s="139"/>
      <c r="J1287" s="39"/>
      <c r="K1287" s="139"/>
      <c r="L1287" s="39"/>
      <c r="M1287" s="139">
        <f t="shared" si="36"/>
        <v>0</v>
      </c>
      <c r="N1287" s="139"/>
      <c r="O1287" s="139"/>
      <c r="P1287" s="143"/>
      <c r="Q1287" s="39" t="s">
        <v>513</v>
      </c>
      <c r="R1287" s="39"/>
      <c r="S1287" s="39"/>
      <c r="T1287" s="39"/>
      <c r="U1287" s="39"/>
      <c r="V1287" s="39"/>
    </row>
    <row r="1288" spans="1:22">
      <c r="A1288" s="39"/>
      <c r="B1288" s="39"/>
      <c r="C1288" s="39"/>
      <c r="D1288" s="39"/>
      <c r="E1288" s="139"/>
      <c r="F1288" s="139"/>
      <c r="G1288" s="39"/>
      <c r="H1288" s="139"/>
      <c r="I1288" s="139"/>
      <c r="J1288" s="39"/>
      <c r="K1288" s="139"/>
      <c r="L1288" s="39"/>
      <c r="M1288" s="139">
        <f t="shared" si="36"/>
        <v>0</v>
      </c>
      <c r="N1288" s="139"/>
      <c r="O1288" s="139"/>
      <c r="P1288" s="143"/>
      <c r="Q1288" s="39" t="s">
        <v>513</v>
      </c>
      <c r="R1288" s="39"/>
      <c r="S1288" s="39"/>
      <c r="T1288" s="39"/>
      <c r="U1288" s="39"/>
      <c r="V1288" s="39"/>
    </row>
    <row r="1289" spans="1:22">
      <c r="A1289" s="39"/>
      <c r="B1289" s="39"/>
      <c r="C1289" s="39"/>
      <c r="D1289" s="39"/>
      <c r="E1289" s="139"/>
      <c r="F1289" s="139"/>
      <c r="G1289" s="39"/>
      <c r="H1289" s="139"/>
      <c r="I1289" s="139"/>
      <c r="J1289" s="39"/>
      <c r="K1289" s="139"/>
      <c r="L1289" s="39"/>
      <c r="M1289" s="139">
        <f t="shared" si="36"/>
        <v>0</v>
      </c>
      <c r="N1289" s="139"/>
      <c r="O1289" s="139"/>
      <c r="P1289" s="143"/>
      <c r="Q1289" s="39" t="s">
        <v>513</v>
      </c>
      <c r="R1289" s="39"/>
      <c r="S1289" s="39"/>
      <c r="T1289" s="39"/>
      <c r="U1289" s="39"/>
      <c r="V1289" s="39"/>
    </row>
    <row r="1290" spans="1:22">
      <c r="A1290" s="39"/>
      <c r="B1290" s="39"/>
      <c r="C1290" s="39"/>
      <c r="D1290" s="39"/>
      <c r="E1290" s="139"/>
      <c r="F1290" s="139"/>
      <c r="G1290" s="39"/>
      <c r="H1290" s="139"/>
      <c r="I1290" s="139"/>
      <c r="J1290" s="39"/>
      <c r="K1290" s="139"/>
      <c r="L1290" s="39"/>
      <c r="M1290" s="139">
        <f t="shared" si="36"/>
        <v>0</v>
      </c>
      <c r="N1290" s="139"/>
      <c r="O1290" s="139"/>
      <c r="P1290" s="143"/>
      <c r="Q1290" s="39" t="s">
        <v>513</v>
      </c>
      <c r="R1290" s="39"/>
      <c r="S1290" s="39"/>
      <c r="T1290" s="39"/>
      <c r="U1290" s="39"/>
      <c r="V1290" s="39"/>
    </row>
    <row r="1291" spans="1:22">
      <c r="A1291" s="39"/>
      <c r="B1291" s="39"/>
      <c r="C1291" s="39"/>
      <c r="D1291" s="39"/>
      <c r="E1291" s="139"/>
      <c r="F1291" s="139"/>
      <c r="G1291" s="39"/>
      <c r="H1291" s="139"/>
      <c r="I1291" s="139"/>
      <c r="J1291" s="39"/>
      <c r="K1291" s="139"/>
      <c r="L1291" s="39"/>
      <c r="M1291" s="139">
        <f t="shared" ref="M1291:M1354" si="37">K1291*H1291</f>
        <v>0</v>
      </c>
      <c r="N1291" s="139"/>
      <c r="O1291" s="139"/>
      <c r="P1291" s="143"/>
      <c r="Q1291" s="39" t="s">
        <v>513</v>
      </c>
      <c r="R1291" s="39"/>
      <c r="S1291" s="39"/>
      <c r="T1291" s="39"/>
      <c r="U1291" s="39"/>
      <c r="V1291" s="39"/>
    </row>
    <row r="1292" spans="1:22">
      <c r="A1292" s="39"/>
      <c r="B1292" s="39"/>
      <c r="C1292" s="39"/>
      <c r="D1292" s="39"/>
      <c r="E1292" s="139"/>
      <c r="F1292" s="139"/>
      <c r="G1292" s="39"/>
      <c r="H1292" s="139"/>
      <c r="I1292" s="139"/>
      <c r="J1292" s="39"/>
      <c r="K1292" s="139"/>
      <c r="L1292" s="39"/>
      <c r="M1292" s="139">
        <f t="shared" si="37"/>
        <v>0</v>
      </c>
      <c r="N1292" s="139"/>
      <c r="O1292" s="139"/>
      <c r="P1292" s="143"/>
      <c r="Q1292" s="39" t="s">
        <v>513</v>
      </c>
      <c r="R1292" s="39"/>
      <c r="S1292" s="39"/>
      <c r="T1292" s="39"/>
      <c r="U1292" s="39"/>
      <c r="V1292" s="39"/>
    </row>
    <row r="1293" spans="1:22">
      <c r="A1293" s="39"/>
      <c r="B1293" s="39"/>
      <c r="C1293" s="39"/>
      <c r="D1293" s="39"/>
      <c r="E1293" s="139"/>
      <c r="F1293" s="139"/>
      <c r="G1293" s="39"/>
      <c r="H1293" s="139"/>
      <c r="I1293" s="139"/>
      <c r="J1293" s="39"/>
      <c r="K1293" s="139"/>
      <c r="L1293" s="39"/>
      <c r="M1293" s="139">
        <f t="shared" si="37"/>
        <v>0</v>
      </c>
      <c r="N1293" s="139"/>
      <c r="O1293" s="139"/>
      <c r="P1293" s="143"/>
      <c r="Q1293" s="39" t="s">
        <v>513</v>
      </c>
      <c r="R1293" s="39"/>
      <c r="S1293" s="39"/>
      <c r="T1293" s="39"/>
      <c r="U1293" s="39"/>
      <c r="V1293" s="39"/>
    </row>
    <row r="1294" spans="1:22">
      <c r="A1294" s="39"/>
      <c r="B1294" s="39"/>
      <c r="C1294" s="39"/>
      <c r="D1294" s="39"/>
      <c r="E1294" s="139"/>
      <c r="F1294" s="139"/>
      <c r="G1294" s="39"/>
      <c r="H1294" s="139"/>
      <c r="I1294" s="139"/>
      <c r="J1294" s="39"/>
      <c r="K1294" s="139"/>
      <c r="L1294" s="39"/>
      <c r="M1294" s="139">
        <f t="shared" si="37"/>
        <v>0</v>
      </c>
      <c r="N1294" s="139"/>
      <c r="O1294" s="139"/>
      <c r="P1294" s="143"/>
      <c r="Q1294" s="39" t="s">
        <v>513</v>
      </c>
      <c r="R1294" s="39"/>
      <c r="S1294" s="39"/>
      <c r="T1294" s="39"/>
      <c r="U1294" s="39"/>
      <c r="V1294" s="39"/>
    </row>
    <row r="1295" spans="1:22">
      <c r="A1295" s="39"/>
      <c r="B1295" s="39"/>
      <c r="C1295" s="39"/>
      <c r="D1295" s="39"/>
      <c r="E1295" s="139"/>
      <c r="F1295" s="139"/>
      <c r="G1295" s="39"/>
      <c r="H1295" s="139"/>
      <c r="I1295" s="139"/>
      <c r="J1295" s="39"/>
      <c r="K1295" s="139"/>
      <c r="L1295" s="39"/>
      <c r="M1295" s="139">
        <f t="shared" si="37"/>
        <v>0</v>
      </c>
      <c r="N1295" s="139"/>
      <c r="O1295" s="139"/>
      <c r="P1295" s="143"/>
      <c r="Q1295" s="39" t="s">
        <v>513</v>
      </c>
      <c r="R1295" s="39"/>
      <c r="S1295" s="39"/>
      <c r="T1295" s="39"/>
      <c r="U1295" s="39"/>
      <c r="V1295" s="39"/>
    </row>
    <row r="1296" spans="1:22">
      <c r="A1296" s="39"/>
      <c r="B1296" s="39"/>
      <c r="C1296" s="39"/>
      <c r="D1296" s="39"/>
      <c r="E1296" s="139"/>
      <c r="F1296" s="139"/>
      <c r="G1296" s="39"/>
      <c r="H1296" s="139"/>
      <c r="I1296" s="139"/>
      <c r="J1296" s="39"/>
      <c r="K1296" s="139"/>
      <c r="L1296" s="39"/>
      <c r="M1296" s="139">
        <f t="shared" si="37"/>
        <v>0</v>
      </c>
      <c r="N1296" s="139"/>
      <c r="O1296" s="139"/>
      <c r="P1296" s="143"/>
      <c r="Q1296" s="39" t="s">
        <v>513</v>
      </c>
      <c r="R1296" s="39"/>
      <c r="S1296" s="39"/>
      <c r="T1296" s="39"/>
      <c r="U1296" s="39"/>
      <c r="V1296" s="39"/>
    </row>
    <row r="1297" spans="1:22">
      <c r="A1297" s="39"/>
      <c r="B1297" s="39"/>
      <c r="C1297" s="39"/>
      <c r="D1297" s="39"/>
      <c r="E1297" s="139"/>
      <c r="F1297" s="139"/>
      <c r="G1297" s="39"/>
      <c r="H1297" s="139"/>
      <c r="I1297" s="139"/>
      <c r="J1297" s="39"/>
      <c r="K1297" s="139"/>
      <c r="L1297" s="39"/>
      <c r="M1297" s="139">
        <f t="shared" si="37"/>
        <v>0</v>
      </c>
      <c r="N1297" s="139"/>
      <c r="O1297" s="139"/>
      <c r="P1297" s="143"/>
      <c r="Q1297" s="39" t="s">
        <v>513</v>
      </c>
      <c r="R1297" s="39"/>
      <c r="S1297" s="39"/>
      <c r="T1297" s="39"/>
      <c r="U1297" s="39"/>
      <c r="V1297" s="39"/>
    </row>
    <row r="1298" spans="1:22">
      <c r="A1298" s="39"/>
      <c r="B1298" s="39"/>
      <c r="C1298" s="39"/>
      <c r="D1298" s="39"/>
      <c r="E1298" s="139"/>
      <c r="F1298" s="139"/>
      <c r="G1298" s="39"/>
      <c r="H1298" s="139"/>
      <c r="I1298" s="139"/>
      <c r="J1298" s="39"/>
      <c r="K1298" s="139"/>
      <c r="L1298" s="39"/>
      <c r="M1298" s="139">
        <f t="shared" si="37"/>
        <v>0</v>
      </c>
      <c r="N1298" s="139"/>
      <c r="O1298" s="139"/>
      <c r="P1298" s="143"/>
      <c r="Q1298" s="39" t="s">
        <v>513</v>
      </c>
      <c r="R1298" s="39"/>
      <c r="S1298" s="39"/>
      <c r="T1298" s="39"/>
      <c r="U1298" s="39"/>
      <c r="V1298" s="39"/>
    </row>
    <row r="1299" spans="1:22">
      <c r="A1299" s="39"/>
      <c r="B1299" s="39"/>
      <c r="C1299" s="39"/>
      <c r="D1299" s="39"/>
      <c r="E1299" s="139"/>
      <c r="F1299" s="139"/>
      <c r="G1299" s="39"/>
      <c r="H1299" s="139"/>
      <c r="I1299" s="139"/>
      <c r="J1299" s="39"/>
      <c r="K1299" s="139"/>
      <c r="L1299" s="39"/>
      <c r="M1299" s="139">
        <f t="shared" si="37"/>
        <v>0</v>
      </c>
      <c r="N1299" s="139"/>
      <c r="O1299" s="139"/>
      <c r="P1299" s="143"/>
      <c r="Q1299" s="39" t="s">
        <v>513</v>
      </c>
      <c r="R1299" s="39"/>
      <c r="S1299" s="39"/>
      <c r="T1299" s="39"/>
      <c r="U1299" s="39"/>
      <c r="V1299" s="39"/>
    </row>
    <row r="1300" spans="1:22">
      <c r="A1300" s="39"/>
      <c r="B1300" s="39"/>
      <c r="C1300" s="39"/>
      <c r="D1300" s="39"/>
      <c r="E1300" s="139"/>
      <c r="F1300" s="139"/>
      <c r="G1300" s="39"/>
      <c r="H1300" s="139"/>
      <c r="I1300" s="139"/>
      <c r="J1300" s="39"/>
      <c r="K1300" s="139"/>
      <c r="L1300" s="39"/>
      <c r="M1300" s="139">
        <f t="shared" si="37"/>
        <v>0</v>
      </c>
      <c r="N1300" s="139"/>
      <c r="O1300" s="139"/>
      <c r="P1300" s="143"/>
      <c r="Q1300" s="39" t="s">
        <v>513</v>
      </c>
      <c r="R1300" s="39"/>
      <c r="S1300" s="39"/>
      <c r="T1300" s="39"/>
      <c r="U1300" s="39"/>
      <c r="V1300" s="39"/>
    </row>
    <row r="1301" spans="1:22">
      <c r="A1301" s="39"/>
      <c r="B1301" s="39"/>
      <c r="C1301" s="39"/>
      <c r="D1301" s="39"/>
      <c r="E1301" s="139"/>
      <c r="F1301" s="139"/>
      <c r="G1301" s="39"/>
      <c r="H1301" s="139"/>
      <c r="I1301" s="139"/>
      <c r="J1301" s="39"/>
      <c r="K1301" s="139"/>
      <c r="L1301" s="39"/>
      <c r="M1301" s="139">
        <f t="shared" si="37"/>
        <v>0</v>
      </c>
      <c r="N1301" s="139"/>
      <c r="O1301" s="139"/>
      <c r="P1301" s="143"/>
      <c r="Q1301" s="39" t="s">
        <v>513</v>
      </c>
      <c r="R1301" s="39"/>
      <c r="S1301" s="39"/>
      <c r="T1301" s="39"/>
      <c r="U1301" s="39"/>
      <c r="V1301" s="39"/>
    </row>
    <row r="1302" spans="1:22">
      <c r="A1302" s="39"/>
      <c r="B1302" s="39"/>
      <c r="C1302" s="39"/>
      <c r="D1302" s="39"/>
      <c r="E1302" s="139"/>
      <c r="F1302" s="139"/>
      <c r="G1302" s="39"/>
      <c r="H1302" s="139"/>
      <c r="I1302" s="139"/>
      <c r="J1302" s="39"/>
      <c r="K1302" s="139"/>
      <c r="L1302" s="39"/>
      <c r="M1302" s="139">
        <f t="shared" si="37"/>
        <v>0</v>
      </c>
      <c r="N1302" s="139"/>
      <c r="O1302" s="139"/>
      <c r="P1302" s="143"/>
      <c r="Q1302" s="39" t="s">
        <v>513</v>
      </c>
      <c r="R1302" s="39"/>
      <c r="S1302" s="39"/>
      <c r="T1302" s="39"/>
      <c r="U1302" s="39"/>
      <c r="V1302" s="39"/>
    </row>
    <row r="1303" spans="1:22">
      <c r="A1303" s="39"/>
      <c r="B1303" s="39"/>
      <c r="C1303" s="39"/>
      <c r="D1303" s="39"/>
      <c r="E1303" s="139"/>
      <c r="F1303" s="139"/>
      <c r="G1303" s="39"/>
      <c r="H1303" s="139"/>
      <c r="I1303" s="139"/>
      <c r="J1303" s="39"/>
      <c r="K1303" s="139"/>
      <c r="L1303" s="39"/>
      <c r="M1303" s="139">
        <f t="shared" si="37"/>
        <v>0</v>
      </c>
      <c r="N1303" s="139"/>
      <c r="O1303" s="139"/>
      <c r="P1303" s="143"/>
      <c r="Q1303" s="39" t="s">
        <v>513</v>
      </c>
      <c r="R1303" s="39"/>
      <c r="S1303" s="39"/>
      <c r="T1303" s="39"/>
      <c r="U1303" s="39"/>
      <c r="V1303" s="39"/>
    </row>
    <row r="1304" spans="1:22">
      <c r="A1304" s="39"/>
      <c r="B1304" s="39"/>
      <c r="C1304" s="39"/>
      <c r="D1304" s="39"/>
      <c r="E1304" s="139"/>
      <c r="F1304" s="139"/>
      <c r="G1304" s="39"/>
      <c r="H1304" s="139"/>
      <c r="I1304" s="139"/>
      <c r="J1304" s="39"/>
      <c r="K1304" s="139"/>
      <c r="L1304" s="39"/>
      <c r="M1304" s="139">
        <f t="shared" si="37"/>
        <v>0</v>
      </c>
      <c r="N1304" s="139"/>
      <c r="O1304" s="139"/>
      <c r="P1304" s="143"/>
      <c r="Q1304" s="39" t="s">
        <v>513</v>
      </c>
      <c r="R1304" s="39"/>
      <c r="S1304" s="39"/>
      <c r="T1304" s="39"/>
      <c r="U1304" s="39"/>
      <c r="V1304" s="39"/>
    </row>
    <row r="1305" spans="1:22">
      <c r="A1305" s="39"/>
      <c r="B1305" s="39"/>
      <c r="C1305" s="39"/>
      <c r="D1305" s="39"/>
      <c r="E1305" s="139"/>
      <c r="F1305" s="139"/>
      <c r="G1305" s="39"/>
      <c r="H1305" s="139"/>
      <c r="I1305" s="139"/>
      <c r="J1305" s="39"/>
      <c r="K1305" s="139"/>
      <c r="L1305" s="39"/>
      <c r="M1305" s="139">
        <f t="shared" si="37"/>
        <v>0</v>
      </c>
      <c r="N1305" s="139"/>
      <c r="O1305" s="139"/>
      <c r="P1305" s="143"/>
      <c r="Q1305" s="39" t="s">
        <v>513</v>
      </c>
      <c r="R1305" s="39"/>
      <c r="S1305" s="39"/>
      <c r="T1305" s="39"/>
      <c r="U1305" s="39"/>
      <c r="V1305" s="39"/>
    </row>
    <row r="1306" spans="1:22">
      <c r="A1306" s="39"/>
      <c r="B1306" s="39"/>
      <c r="C1306" s="39"/>
      <c r="D1306" s="39"/>
      <c r="E1306" s="139"/>
      <c r="F1306" s="139"/>
      <c r="G1306" s="39"/>
      <c r="H1306" s="139"/>
      <c r="I1306" s="139"/>
      <c r="J1306" s="39"/>
      <c r="K1306" s="139"/>
      <c r="L1306" s="39"/>
      <c r="M1306" s="139">
        <f t="shared" si="37"/>
        <v>0</v>
      </c>
      <c r="N1306" s="139"/>
      <c r="O1306" s="139"/>
      <c r="P1306" s="143"/>
      <c r="Q1306" s="39" t="s">
        <v>513</v>
      </c>
      <c r="R1306" s="39"/>
      <c r="S1306" s="39"/>
      <c r="T1306" s="39"/>
      <c r="U1306" s="39"/>
      <c r="V1306" s="39"/>
    </row>
    <row r="1307" spans="1:22">
      <c r="A1307" s="39"/>
      <c r="B1307" s="39"/>
      <c r="C1307" s="39"/>
      <c r="D1307" s="39"/>
      <c r="E1307" s="139"/>
      <c r="F1307" s="139"/>
      <c r="G1307" s="39"/>
      <c r="H1307" s="139"/>
      <c r="I1307" s="139"/>
      <c r="J1307" s="39"/>
      <c r="K1307" s="139"/>
      <c r="L1307" s="39"/>
      <c r="M1307" s="139">
        <f t="shared" si="37"/>
        <v>0</v>
      </c>
      <c r="N1307" s="139"/>
      <c r="O1307" s="139"/>
      <c r="P1307" s="143"/>
      <c r="Q1307" s="39" t="s">
        <v>513</v>
      </c>
      <c r="R1307" s="39"/>
      <c r="S1307" s="39"/>
      <c r="T1307" s="39"/>
      <c r="U1307" s="39"/>
      <c r="V1307" s="39"/>
    </row>
    <row r="1308" spans="1:22">
      <c r="A1308" s="39"/>
      <c r="B1308" s="39"/>
      <c r="C1308" s="39"/>
      <c r="D1308" s="39"/>
      <c r="E1308" s="139"/>
      <c r="F1308" s="139"/>
      <c r="G1308" s="39"/>
      <c r="H1308" s="139"/>
      <c r="I1308" s="139"/>
      <c r="J1308" s="39"/>
      <c r="K1308" s="139"/>
      <c r="L1308" s="39"/>
      <c r="M1308" s="139">
        <f t="shared" si="37"/>
        <v>0</v>
      </c>
      <c r="N1308" s="139"/>
      <c r="O1308" s="139"/>
      <c r="P1308" s="143"/>
      <c r="Q1308" s="39" t="s">
        <v>513</v>
      </c>
      <c r="R1308" s="39"/>
      <c r="S1308" s="39"/>
      <c r="T1308" s="39"/>
      <c r="U1308" s="39"/>
      <c r="V1308" s="39"/>
    </row>
    <row r="1309" spans="1:22">
      <c r="A1309" s="39"/>
      <c r="B1309" s="39"/>
      <c r="C1309" s="39"/>
      <c r="D1309" s="39"/>
      <c r="E1309" s="139"/>
      <c r="F1309" s="139"/>
      <c r="G1309" s="39"/>
      <c r="H1309" s="139"/>
      <c r="I1309" s="139"/>
      <c r="J1309" s="39"/>
      <c r="K1309" s="139"/>
      <c r="L1309" s="39"/>
      <c r="M1309" s="139">
        <f t="shared" si="37"/>
        <v>0</v>
      </c>
      <c r="N1309" s="139"/>
      <c r="O1309" s="139"/>
      <c r="P1309" s="143"/>
      <c r="Q1309" s="39" t="s">
        <v>513</v>
      </c>
      <c r="R1309" s="39"/>
      <c r="S1309" s="39"/>
      <c r="T1309" s="39"/>
      <c r="U1309" s="39"/>
      <c r="V1309" s="39"/>
    </row>
    <row r="1310" spans="1:22">
      <c r="A1310" s="39"/>
      <c r="B1310" s="39"/>
      <c r="C1310" s="39"/>
      <c r="D1310" s="39"/>
      <c r="E1310" s="139"/>
      <c r="F1310" s="139"/>
      <c r="G1310" s="39"/>
      <c r="H1310" s="139"/>
      <c r="I1310" s="139"/>
      <c r="J1310" s="39"/>
      <c r="K1310" s="139"/>
      <c r="L1310" s="39"/>
      <c r="M1310" s="139">
        <f t="shared" si="37"/>
        <v>0</v>
      </c>
      <c r="N1310" s="139"/>
      <c r="O1310" s="139"/>
      <c r="P1310" s="143"/>
      <c r="Q1310" s="39" t="s">
        <v>513</v>
      </c>
      <c r="R1310" s="39"/>
      <c r="S1310" s="39"/>
      <c r="T1310" s="39"/>
      <c r="U1310" s="39"/>
      <c r="V1310" s="39"/>
    </row>
    <row r="1311" spans="1:22">
      <c r="A1311" s="39"/>
      <c r="B1311" s="39"/>
      <c r="C1311" s="39"/>
      <c r="D1311" s="39"/>
      <c r="E1311" s="139"/>
      <c r="F1311" s="139"/>
      <c r="G1311" s="39"/>
      <c r="H1311" s="139"/>
      <c r="I1311" s="139"/>
      <c r="J1311" s="39"/>
      <c r="K1311" s="139"/>
      <c r="L1311" s="39"/>
      <c r="M1311" s="139">
        <f t="shared" si="37"/>
        <v>0</v>
      </c>
      <c r="N1311" s="139"/>
      <c r="O1311" s="139"/>
      <c r="P1311" s="143"/>
      <c r="Q1311" s="39" t="s">
        <v>513</v>
      </c>
      <c r="R1311" s="39"/>
      <c r="S1311" s="39"/>
      <c r="T1311" s="39"/>
      <c r="U1311" s="39"/>
      <c r="V1311" s="39"/>
    </row>
    <row r="1312" spans="1:22">
      <c r="A1312" s="39"/>
      <c r="B1312" s="39"/>
      <c r="C1312" s="39"/>
      <c r="D1312" s="39"/>
      <c r="E1312" s="139"/>
      <c r="F1312" s="139"/>
      <c r="G1312" s="39"/>
      <c r="H1312" s="139"/>
      <c r="I1312" s="139"/>
      <c r="J1312" s="39"/>
      <c r="K1312" s="139"/>
      <c r="L1312" s="39"/>
      <c r="M1312" s="139">
        <f t="shared" si="37"/>
        <v>0</v>
      </c>
      <c r="N1312" s="139"/>
      <c r="O1312" s="139"/>
      <c r="P1312" s="143"/>
      <c r="Q1312" s="39" t="s">
        <v>513</v>
      </c>
      <c r="R1312" s="39"/>
      <c r="S1312" s="39"/>
      <c r="T1312" s="39"/>
      <c r="U1312" s="39"/>
      <c r="V1312" s="39"/>
    </row>
    <row r="1313" spans="1:22">
      <c r="A1313" s="39"/>
      <c r="B1313" s="39"/>
      <c r="C1313" s="39"/>
      <c r="D1313" s="39"/>
      <c r="E1313" s="139"/>
      <c r="F1313" s="139"/>
      <c r="G1313" s="39"/>
      <c r="H1313" s="139"/>
      <c r="I1313" s="139"/>
      <c r="J1313" s="39"/>
      <c r="K1313" s="139"/>
      <c r="L1313" s="39"/>
      <c r="M1313" s="139">
        <f t="shared" si="37"/>
        <v>0</v>
      </c>
      <c r="N1313" s="139"/>
      <c r="O1313" s="139"/>
      <c r="P1313" s="143"/>
      <c r="Q1313" s="39" t="s">
        <v>513</v>
      </c>
      <c r="R1313" s="39"/>
      <c r="S1313" s="39"/>
      <c r="T1313" s="39"/>
      <c r="U1313" s="39"/>
      <c r="V1313" s="39"/>
    </row>
    <row r="1314" spans="1:22">
      <c r="A1314" s="39"/>
      <c r="B1314" s="39"/>
      <c r="C1314" s="39"/>
      <c r="D1314" s="39"/>
      <c r="E1314" s="139"/>
      <c r="F1314" s="139"/>
      <c r="G1314" s="39"/>
      <c r="H1314" s="139"/>
      <c r="I1314" s="139"/>
      <c r="J1314" s="39"/>
      <c r="K1314" s="139"/>
      <c r="L1314" s="39"/>
      <c r="M1314" s="139">
        <f t="shared" si="37"/>
        <v>0</v>
      </c>
      <c r="N1314" s="139"/>
      <c r="O1314" s="139"/>
      <c r="P1314" s="143"/>
      <c r="Q1314" s="39" t="s">
        <v>513</v>
      </c>
      <c r="R1314" s="39"/>
      <c r="S1314" s="39"/>
      <c r="T1314" s="39"/>
      <c r="U1314" s="39"/>
      <c r="V1314" s="39"/>
    </row>
    <row r="1315" spans="1:22">
      <c r="A1315" s="39"/>
      <c r="B1315" s="39"/>
      <c r="C1315" s="39"/>
      <c r="D1315" s="39"/>
      <c r="E1315" s="139"/>
      <c r="F1315" s="139"/>
      <c r="G1315" s="39"/>
      <c r="H1315" s="139"/>
      <c r="I1315" s="139"/>
      <c r="J1315" s="39"/>
      <c r="K1315" s="139"/>
      <c r="L1315" s="39"/>
      <c r="M1315" s="139">
        <f t="shared" si="37"/>
        <v>0</v>
      </c>
      <c r="N1315" s="139"/>
      <c r="O1315" s="139"/>
      <c r="P1315" s="143"/>
      <c r="Q1315" s="39" t="s">
        <v>513</v>
      </c>
      <c r="R1315" s="39"/>
      <c r="S1315" s="39"/>
      <c r="T1315" s="39"/>
      <c r="U1315" s="39"/>
      <c r="V1315" s="39"/>
    </row>
    <row r="1316" spans="1:22">
      <c r="A1316" s="39"/>
      <c r="B1316" s="39"/>
      <c r="C1316" s="39"/>
      <c r="D1316" s="39"/>
      <c r="E1316" s="139"/>
      <c r="F1316" s="139"/>
      <c r="G1316" s="39"/>
      <c r="H1316" s="139"/>
      <c r="I1316" s="139"/>
      <c r="J1316" s="39"/>
      <c r="K1316" s="139"/>
      <c r="L1316" s="39"/>
      <c r="M1316" s="139">
        <f t="shared" si="37"/>
        <v>0</v>
      </c>
      <c r="N1316" s="139"/>
      <c r="O1316" s="139"/>
      <c r="P1316" s="143"/>
      <c r="Q1316" s="39" t="s">
        <v>513</v>
      </c>
      <c r="R1316" s="39"/>
      <c r="S1316" s="39"/>
      <c r="T1316" s="39"/>
      <c r="U1316" s="39"/>
      <c r="V1316" s="39"/>
    </row>
    <row r="1317" spans="1:22">
      <c r="A1317" s="39"/>
      <c r="B1317" s="39"/>
      <c r="C1317" s="39"/>
      <c r="D1317" s="39"/>
      <c r="E1317" s="139"/>
      <c r="F1317" s="139"/>
      <c r="G1317" s="39"/>
      <c r="H1317" s="139"/>
      <c r="I1317" s="139"/>
      <c r="J1317" s="39"/>
      <c r="K1317" s="139"/>
      <c r="L1317" s="39"/>
      <c r="M1317" s="139">
        <f t="shared" si="37"/>
        <v>0</v>
      </c>
      <c r="N1317" s="139"/>
      <c r="O1317" s="139"/>
      <c r="P1317" s="143"/>
      <c r="Q1317" s="39" t="s">
        <v>513</v>
      </c>
      <c r="R1317" s="39"/>
      <c r="S1317" s="39"/>
      <c r="T1317" s="39"/>
      <c r="U1317" s="39"/>
      <c r="V1317" s="39"/>
    </row>
    <row r="1318" spans="1:22">
      <c r="A1318" s="39"/>
      <c r="B1318" s="39"/>
      <c r="C1318" s="39"/>
      <c r="D1318" s="39"/>
      <c r="E1318" s="139"/>
      <c r="F1318" s="139"/>
      <c r="G1318" s="39"/>
      <c r="H1318" s="139"/>
      <c r="I1318" s="139"/>
      <c r="J1318" s="39"/>
      <c r="K1318" s="139"/>
      <c r="L1318" s="39"/>
      <c r="M1318" s="139">
        <f t="shared" si="37"/>
        <v>0</v>
      </c>
      <c r="N1318" s="139"/>
      <c r="O1318" s="139"/>
      <c r="P1318" s="143"/>
      <c r="Q1318" s="39" t="s">
        <v>513</v>
      </c>
      <c r="R1318" s="39"/>
      <c r="S1318" s="39"/>
      <c r="T1318" s="39"/>
      <c r="U1318" s="39"/>
      <c r="V1318" s="39"/>
    </row>
    <row r="1319" spans="1:22">
      <c r="A1319" s="39"/>
      <c r="B1319" s="39"/>
      <c r="C1319" s="39"/>
      <c r="D1319" s="39"/>
      <c r="E1319" s="139"/>
      <c r="F1319" s="139"/>
      <c r="G1319" s="39"/>
      <c r="H1319" s="139"/>
      <c r="I1319" s="139"/>
      <c r="J1319" s="39"/>
      <c r="K1319" s="139"/>
      <c r="L1319" s="39"/>
      <c r="M1319" s="139">
        <f t="shared" si="37"/>
        <v>0</v>
      </c>
      <c r="N1319" s="139"/>
      <c r="O1319" s="139"/>
      <c r="P1319" s="143"/>
      <c r="Q1319" s="39" t="s">
        <v>513</v>
      </c>
      <c r="R1319" s="39"/>
      <c r="S1319" s="39"/>
      <c r="T1319" s="39"/>
      <c r="U1319" s="39"/>
      <c r="V1319" s="39"/>
    </row>
    <row r="1320" spans="1:22">
      <c r="A1320" s="39"/>
      <c r="B1320" s="39"/>
      <c r="C1320" s="39"/>
      <c r="D1320" s="39"/>
      <c r="E1320" s="139"/>
      <c r="F1320" s="139"/>
      <c r="G1320" s="39"/>
      <c r="H1320" s="139"/>
      <c r="I1320" s="139"/>
      <c r="J1320" s="39"/>
      <c r="K1320" s="139"/>
      <c r="L1320" s="39"/>
      <c r="M1320" s="139">
        <f t="shared" si="37"/>
        <v>0</v>
      </c>
      <c r="N1320" s="139"/>
      <c r="O1320" s="139"/>
      <c r="P1320" s="143"/>
      <c r="Q1320" s="39" t="s">
        <v>513</v>
      </c>
      <c r="R1320" s="39"/>
      <c r="S1320" s="39"/>
      <c r="T1320" s="39"/>
      <c r="U1320" s="39"/>
      <c r="V1320" s="39"/>
    </row>
    <row r="1321" spans="1:22">
      <c r="A1321" s="39"/>
      <c r="B1321" s="39"/>
      <c r="C1321" s="39"/>
      <c r="D1321" s="39"/>
      <c r="E1321" s="139"/>
      <c r="F1321" s="139"/>
      <c r="G1321" s="39"/>
      <c r="H1321" s="139"/>
      <c r="I1321" s="139"/>
      <c r="J1321" s="39"/>
      <c r="K1321" s="139"/>
      <c r="L1321" s="39"/>
      <c r="M1321" s="139">
        <f t="shared" si="37"/>
        <v>0</v>
      </c>
      <c r="N1321" s="139"/>
      <c r="O1321" s="139"/>
      <c r="P1321" s="143"/>
      <c r="Q1321" s="39" t="s">
        <v>513</v>
      </c>
      <c r="R1321" s="39"/>
      <c r="S1321" s="39"/>
      <c r="T1321" s="39"/>
      <c r="U1321" s="39"/>
      <c r="V1321" s="39"/>
    </row>
    <row r="1322" spans="1:22">
      <c r="A1322" s="39"/>
      <c r="B1322" s="39"/>
      <c r="C1322" s="39"/>
      <c r="D1322" s="39"/>
      <c r="E1322" s="139"/>
      <c r="F1322" s="139"/>
      <c r="G1322" s="39"/>
      <c r="H1322" s="139"/>
      <c r="I1322" s="139"/>
      <c r="J1322" s="39"/>
      <c r="K1322" s="139"/>
      <c r="L1322" s="39"/>
      <c r="M1322" s="139">
        <f t="shared" si="37"/>
        <v>0</v>
      </c>
      <c r="N1322" s="139"/>
      <c r="O1322" s="139"/>
      <c r="P1322" s="143"/>
      <c r="Q1322" s="39" t="s">
        <v>513</v>
      </c>
      <c r="R1322" s="39"/>
      <c r="S1322" s="39"/>
      <c r="T1322" s="39"/>
      <c r="U1322" s="39"/>
      <c r="V1322" s="39"/>
    </row>
    <row r="1323" spans="1:22">
      <c r="A1323" s="39"/>
      <c r="B1323" s="39"/>
      <c r="C1323" s="39"/>
      <c r="D1323" s="39"/>
      <c r="E1323" s="139"/>
      <c r="F1323" s="139"/>
      <c r="G1323" s="39"/>
      <c r="H1323" s="139"/>
      <c r="I1323" s="139"/>
      <c r="J1323" s="39"/>
      <c r="K1323" s="139"/>
      <c r="L1323" s="39"/>
      <c r="M1323" s="139">
        <f t="shared" si="37"/>
        <v>0</v>
      </c>
      <c r="N1323" s="139"/>
      <c r="O1323" s="139"/>
      <c r="P1323" s="143"/>
      <c r="Q1323" s="39" t="s">
        <v>513</v>
      </c>
      <c r="R1323" s="39"/>
      <c r="S1323" s="39"/>
      <c r="T1323" s="39"/>
      <c r="U1323" s="39"/>
      <c r="V1323" s="39"/>
    </row>
    <row r="1324" spans="1:22">
      <c r="A1324" s="39"/>
      <c r="B1324" s="39"/>
      <c r="C1324" s="39"/>
      <c r="D1324" s="39"/>
      <c r="E1324" s="139"/>
      <c r="F1324" s="139"/>
      <c r="G1324" s="39"/>
      <c r="H1324" s="139"/>
      <c r="I1324" s="139"/>
      <c r="J1324" s="39"/>
      <c r="K1324" s="139"/>
      <c r="L1324" s="39"/>
      <c r="M1324" s="139">
        <f t="shared" si="37"/>
        <v>0</v>
      </c>
      <c r="N1324" s="139"/>
      <c r="O1324" s="139"/>
      <c r="P1324" s="143"/>
      <c r="Q1324" s="39" t="s">
        <v>513</v>
      </c>
      <c r="R1324" s="39"/>
      <c r="S1324" s="39"/>
      <c r="T1324" s="39"/>
      <c r="U1324" s="39"/>
      <c r="V1324" s="39"/>
    </row>
    <row r="1325" spans="1:22">
      <c r="A1325" s="39"/>
      <c r="B1325" s="39"/>
      <c r="C1325" s="39"/>
      <c r="D1325" s="39"/>
      <c r="E1325" s="139"/>
      <c r="F1325" s="139"/>
      <c r="G1325" s="39"/>
      <c r="H1325" s="139"/>
      <c r="I1325" s="139"/>
      <c r="J1325" s="39"/>
      <c r="K1325" s="139"/>
      <c r="L1325" s="39"/>
      <c r="M1325" s="139">
        <f t="shared" si="37"/>
        <v>0</v>
      </c>
      <c r="N1325" s="139"/>
      <c r="O1325" s="139"/>
      <c r="P1325" s="143"/>
      <c r="Q1325" s="39" t="s">
        <v>513</v>
      </c>
      <c r="R1325" s="39"/>
      <c r="S1325" s="39"/>
      <c r="T1325" s="39"/>
      <c r="U1325" s="39"/>
      <c r="V1325" s="39"/>
    </row>
    <row r="1326" spans="1:22">
      <c r="A1326" s="39"/>
      <c r="B1326" s="39"/>
      <c r="C1326" s="39"/>
      <c r="D1326" s="39"/>
      <c r="E1326" s="139"/>
      <c r="F1326" s="139"/>
      <c r="G1326" s="39"/>
      <c r="H1326" s="139"/>
      <c r="I1326" s="139"/>
      <c r="J1326" s="39"/>
      <c r="K1326" s="139"/>
      <c r="L1326" s="39"/>
      <c r="M1326" s="139">
        <f t="shared" si="37"/>
        <v>0</v>
      </c>
      <c r="N1326" s="139"/>
      <c r="O1326" s="139"/>
      <c r="P1326" s="143"/>
      <c r="Q1326" s="39" t="s">
        <v>513</v>
      </c>
      <c r="R1326" s="39"/>
      <c r="S1326" s="39"/>
      <c r="T1326" s="39"/>
      <c r="U1326" s="39"/>
      <c r="V1326" s="39"/>
    </row>
    <row r="1327" spans="1:22">
      <c r="A1327" s="39"/>
      <c r="B1327" s="39"/>
      <c r="C1327" s="39"/>
      <c r="D1327" s="39"/>
      <c r="E1327" s="139"/>
      <c r="F1327" s="139"/>
      <c r="G1327" s="39"/>
      <c r="H1327" s="139"/>
      <c r="I1327" s="139"/>
      <c r="J1327" s="39"/>
      <c r="K1327" s="139"/>
      <c r="L1327" s="39"/>
      <c r="M1327" s="139">
        <f t="shared" si="37"/>
        <v>0</v>
      </c>
      <c r="N1327" s="139"/>
      <c r="O1327" s="139"/>
      <c r="P1327" s="143"/>
      <c r="Q1327" s="39" t="s">
        <v>513</v>
      </c>
      <c r="R1327" s="39"/>
      <c r="S1327" s="39"/>
      <c r="T1327" s="39"/>
      <c r="U1327" s="39"/>
      <c r="V1327" s="39"/>
    </row>
    <row r="1328" spans="1:22">
      <c r="A1328" s="39"/>
      <c r="B1328" s="39"/>
      <c r="C1328" s="39"/>
      <c r="D1328" s="39"/>
      <c r="E1328" s="139"/>
      <c r="F1328" s="139"/>
      <c r="G1328" s="39"/>
      <c r="H1328" s="139"/>
      <c r="I1328" s="139"/>
      <c r="J1328" s="39"/>
      <c r="K1328" s="139"/>
      <c r="L1328" s="39"/>
      <c r="M1328" s="139">
        <f t="shared" si="37"/>
        <v>0</v>
      </c>
      <c r="N1328" s="139"/>
      <c r="O1328" s="139"/>
      <c r="P1328" s="143"/>
      <c r="Q1328" s="39" t="s">
        <v>513</v>
      </c>
      <c r="R1328" s="39"/>
      <c r="S1328" s="39"/>
      <c r="T1328" s="39"/>
      <c r="U1328" s="39"/>
      <c r="V1328" s="39"/>
    </row>
    <row r="1329" spans="1:22">
      <c r="A1329" s="39"/>
      <c r="B1329" s="39"/>
      <c r="C1329" s="39"/>
      <c r="D1329" s="39"/>
      <c r="E1329" s="139"/>
      <c r="F1329" s="139"/>
      <c r="G1329" s="39"/>
      <c r="H1329" s="139"/>
      <c r="I1329" s="139"/>
      <c r="J1329" s="39"/>
      <c r="K1329" s="139"/>
      <c r="L1329" s="39"/>
      <c r="M1329" s="139">
        <f t="shared" si="37"/>
        <v>0</v>
      </c>
      <c r="N1329" s="139"/>
      <c r="O1329" s="139"/>
      <c r="P1329" s="143"/>
      <c r="Q1329" s="39" t="s">
        <v>513</v>
      </c>
      <c r="R1329" s="39"/>
      <c r="S1329" s="39"/>
      <c r="T1329" s="39"/>
      <c r="U1329" s="39"/>
      <c r="V1329" s="39"/>
    </row>
    <row r="1330" spans="1:22">
      <c r="A1330" s="39"/>
      <c r="B1330" s="39"/>
      <c r="C1330" s="39"/>
      <c r="D1330" s="39"/>
      <c r="E1330" s="139"/>
      <c r="F1330" s="139"/>
      <c r="G1330" s="39"/>
      <c r="H1330" s="139"/>
      <c r="I1330" s="139"/>
      <c r="J1330" s="39"/>
      <c r="K1330" s="139"/>
      <c r="L1330" s="39"/>
      <c r="M1330" s="139">
        <f t="shared" si="37"/>
        <v>0</v>
      </c>
      <c r="N1330" s="139"/>
      <c r="O1330" s="139"/>
      <c r="P1330" s="143"/>
      <c r="Q1330" s="39" t="s">
        <v>513</v>
      </c>
      <c r="R1330" s="39"/>
      <c r="S1330" s="39"/>
      <c r="T1330" s="39"/>
      <c r="U1330" s="39"/>
      <c r="V1330" s="39"/>
    </row>
    <row r="1331" spans="1:22">
      <c r="A1331" s="39"/>
      <c r="B1331" s="39"/>
      <c r="C1331" s="39"/>
      <c r="D1331" s="39"/>
      <c r="E1331" s="139"/>
      <c r="F1331" s="139"/>
      <c r="G1331" s="39"/>
      <c r="H1331" s="139"/>
      <c r="I1331" s="139"/>
      <c r="J1331" s="39"/>
      <c r="K1331" s="139"/>
      <c r="L1331" s="39"/>
      <c r="M1331" s="139">
        <f t="shared" si="37"/>
        <v>0</v>
      </c>
      <c r="N1331" s="139"/>
      <c r="O1331" s="139"/>
      <c r="P1331" s="143"/>
      <c r="Q1331" s="39" t="s">
        <v>513</v>
      </c>
      <c r="R1331" s="39"/>
      <c r="S1331" s="39"/>
      <c r="T1331" s="39"/>
      <c r="U1331" s="39"/>
      <c r="V1331" s="39"/>
    </row>
    <row r="1332" spans="1:22">
      <c r="A1332" s="39"/>
      <c r="B1332" s="39"/>
      <c r="C1332" s="39"/>
      <c r="D1332" s="39"/>
      <c r="E1332" s="139"/>
      <c r="F1332" s="139"/>
      <c r="G1332" s="39"/>
      <c r="H1332" s="139"/>
      <c r="I1332" s="139"/>
      <c r="J1332" s="39"/>
      <c r="K1332" s="139"/>
      <c r="L1332" s="39"/>
      <c r="M1332" s="139">
        <f t="shared" si="37"/>
        <v>0</v>
      </c>
      <c r="N1332" s="139"/>
      <c r="O1332" s="139"/>
      <c r="P1332" s="143"/>
      <c r="Q1332" s="39" t="s">
        <v>513</v>
      </c>
      <c r="R1332" s="39"/>
      <c r="S1332" s="39"/>
      <c r="T1332" s="39"/>
      <c r="U1332" s="39"/>
      <c r="V1332" s="39"/>
    </row>
    <row r="1333" spans="1:22">
      <c r="A1333" s="39"/>
      <c r="B1333" s="39"/>
      <c r="C1333" s="39"/>
      <c r="D1333" s="39"/>
      <c r="E1333" s="139"/>
      <c r="F1333" s="139"/>
      <c r="G1333" s="39"/>
      <c r="H1333" s="139"/>
      <c r="I1333" s="139"/>
      <c r="J1333" s="39"/>
      <c r="K1333" s="139"/>
      <c r="L1333" s="39"/>
      <c r="M1333" s="139">
        <f t="shared" si="37"/>
        <v>0</v>
      </c>
      <c r="N1333" s="139"/>
      <c r="O1333" s="139"/>
      <c r="P1333" s="143"/>
      <c r="Q1333" s="39" t="s">
        <v>513</v>
      </c>
      <c r="R1333" s="39"/>
      <c r="S1333" s="39"/>
      <c r="T1333" s="39"/>
      <c r="U1333" s="39"/>
      <c r="V1333" s="39"/>
    </row>
    <row r="1334" spans="1:22">
      <c r="A1334" s="39"/>
      <c r="B1334" s="39"/>
      <c r="C1334" s="39"/>
      <c r="D1334" s="39"/>
      <c r="E1334" s="139"/>
      <c r="F1334" s="139"/>
      <c r="G1334" s="39"/>
      <c r="H1334" s="139"/>
      <c r="I1334" s="139"/>
      <c r="J1334" s="39"/>
      <c r="K1334" s="139"/>
      <c r="L1334" s="39"/>
      <c r="M1334" s="139">
        <f t="shared" si="37"/>
        <v>0</v>
      </c>
      <c r="N1334" s="139"/>
      <c r="O1334" s="139"/>
      <c r="P1334" s="143"/>
      <c r="Q1334" s="39" t="s">
        <v>513</v>
      </c>
      <c r="R1334" s="39"/>
      <c r="S1334" s="39"/>
      <c r="T1334" s="39"/>
      <c r="U1334" s="39"/>
      <c r="V1334" s="39"/>
    </row>
    <row r="1335" spans="1:22">
      <c r="A1335" s="39"/>
      <c r="B1335" s="39"/>
      <c r="C1335" s="39"/>
      <c r="D1335" s="39"/>
      <c r="E1335" s="139"/>
      <c r="F1335" s="139"/>
      <c r="G1335" s="39"/>
      <c r="H1335" s="139"/>
      <c r="I1335" s="139"/>
      <c r="J1335" s="39"/>
      <c r="K1335" s="139"/>
      <c r="L1335" s="39"/>
      <c r="M1335" s="139">
        <f t="shared" si="37"/>
        <v>0</v>
      </c>
      <c r="N1335" s="139"/>
      <c r="O1335" s="139"/>
      <c r="P1335" s="143"/>
      <c r="Q1335" s="39" t="s">
        <v>513</v>
      </c>
      <c r="R1335" s="39"/>
      <c r="S1335" s="39"/>
      <c r="T1335" s="39"/>
      <c r="U1335" s="39"/>
      <c r="V1335" s="39"/>
    </row>
    <row r="1336" spans="1:22">
      <c r="A1336" s="39"/>
      <c r="B1336" s="39"/>
      <c r="C1336" s="39"/>
      <c r="D1336" s="39"/>
      <c r="E1336" s="139"/>
      <c r="F1336" s="139"/>
      <c r="G1336" s="39"/>
      <c r="H1336" s="139"/>
      <c r="I1336" s="139"/>
      <c r="J1336" s="39"/>
      <c r="K1336" s="139"/>
      <c r="L1336" s="39"/>
      <c r="M1336" s="139">
        <f t="shared" si="37"/>
        <v>0</v>
      </c>
      <c r="N1336" s="139"/>
      <c r="O1336" s="139"/>
      <c r="P1336" s="143"/>
      <c r="Q1336" s="39" t="s">
        <v>513</v>
      </c>
      <c r="R1336" s="39"/>
      <c r="S1336" s="39"/>
      <c r="T1336" s="39"/>
      <c r="U1336" s="39"/>
      <c r="V1336" s="39"/>
    </row>
    <row r="1337" spans="1:22">
      <c r="A1337" s="39"/>
      <c r="B1337" s="39"/>
      <c r="C1337" s="39"/>
      <c r="D1337" s="39"/>
      <c r="E1337" s="139"/>
      <c r="F1337" s="139"/>
      <c r="G1337" s="39"/>
      <c r="H1337" s="139"/>
      <c r="I1337" s="139"/>
      <c r="J1337" s="39"/>
      <c r="K1337" s="139"/>
      <c r="L1337" s="39"/>
      <c r="M1337" s="139">
        <f t="shared" si="37"/>
        <v>0</v>
      </c>
      <c r="N1337" s="139"/>
      <c r="O1337" s="139"/>
      <c r="P1337" s="143"/>
      <c r="Q1337" s="39" t="s">
        <v>513</v>
      </c>
      <c r="R1337" s="39"/>
      <c r="S1337" s="39"/>
      <c r="T1337" s="39"/>
      <c r="U1337" s="39"/>
      <c r="V1337" s="39"/>
    </row>
    <row r="1338" spans="1:22">
      <c r="A1338" s="39"/>
      <c r="B1338" s="39"/>
      <c r="C1338" s="39"/>
      <c r="D1338" s="39"/>
      <c r="E1338" s="139"/>
      <c r="F1338" s="139"/>
      <c r="G1338" s="39"/>
      <c r="H1338" s="139"/>
      <c r="I1338" s="139"/>
      <c r="J1338" s="39"/>
      <c r="K1338" s="139"/>
      <c r="L1338" s="39"/>
      <c r="M1338" s="139">
        <f t="shared" si="37"/>
        <v>0</v>
      </c>
      <c r="N1338" s="139"/>
      <c r="O1338" s="139"/>
      <c r="P1338" s="143"/>
      <c r="Q1338" s="39" t="s">
        <v>513</v>
      </c>
      <c r="R1338" s="39"/>
      <c r="S1338" s="39"/>
      <c r="T1338" s="39"/>
      <c r="U1338" s="39"/>
      <c r="V1338" s="39"/>
    </row>
    <row r="1339" spans="1:22">
      <c r="A1339" s="39"/>
      <c r="B1339" s="39"/>
      <c r="C1339" s="39"/>
      <c r="D1339" s="39"/>
      <c r="E1339" s="139"/>
      <c r="F1339" s="139"/>
      <c r="G1339" s="39"/>
      <c r="H1339" s="139"/>
      <c r="I1339" s="139"/>
      <c r="J1339" s="39"/>
      <c r="K1339" s="139"/>
      <c r="L1339" s="39"/>
      <c r="M1339" s="139">
        <f t="shared" si="37"/>
        <v>0</v>
      </c>
      <c r="N1339" s="139"/>
      <c r="O1339" s="139"/>
      <c r="P1339" s="143"/>
      <c r="Q1339" s="39" t="s">
        <v>513</v>
      </c>
      <c r="R1339" s="39"/>
      <c r="S1339" s="39"/>
      <c r="T1339" s="39"/>
      <c r="U1339" s="39"/>
      <c r="V1339" s="39"/>
    </row>
    <row r="1340" spans="1:22">
      <c r="A1340" s="39"/>
      <c r="B1340" s="39"/>
      <c r="C1340" s="39"/>
      <c r="D1340" s="39"/>
      <c r="E1340" s="139"/>
      <c r="F1340" s="139"/>
      <c r="G1340" s="39"/>
      <c r="H1340" s="139"/>
      <c r="I1340" s="139"/>
      <c r="J1340" s="39"/>
      <c r="K1340" s="139"/>
      <c r="L1340" s="39"/>
      <c r="M1340" s="139">
        <f t="shared" si="37"/>
        <v>0</v>
      </c>
      <c r="N1340" s="139"/>
      <c r="O1340" s="139"/>
      <c r="P1340" s="143"/>
      <c r="Q1340" s="39" t="s">
        <v>513</v>
      </c>
      <c r="R1340" s="39"/>
      <c r="S1340" s="39"/>
      <c r="T1340" s="39"/>
      <c r="U1340" s="39"/>
      <c r="V1340" s="39"/>
    </row>
    <row r="1341" spans="1:22">
      <c r="A1341" s="39"/>
      <c r="B1341" s="39"/>
      <c r="C1341" s="39"/>
      <c r="D1341" s="39"/>
      <c r="E1341" s="139"/>
      <c r="F1341" s="139"/>
      <c r="G1341" s="39"/>
      <c r="H1341" s="139"/>
      <c r="I1341" s="139"/>
      <c r="J1341" s="39"/>
      <c r="K1341" s="139"/>
      <c r="L1341" s="39"/>
      <c r="M1341" s="139">
        <f t="shared" si="37"/>
        <v>0</v>
      </c>
      <c r="N1341" s="139"/>
      <c r="O1341" s="139"/>
      <c r="P1341" s="143"/>
      <c r="Q1341" s="39" t="s">
        <v>513</v>
      </c>
      <c r="R1341" s="39"/>
      <c r="S1341" s="39"/>
      <c r="T1341" s="39"/>
      <c r="U1341" s="39"/>
      <c r="V1341" s="39"/>
    </row>
    <row r="1342" spans="1:22">
      <c r="A1342" s="39"/>
      <c r="B1342" s="39"/>
      <c r="C1342" s="39"/>
      <c r="D1342" s="39"/>
      <c r="E1342" s="139"/>
      <c r="F1342" s="139"/>
      <c r="G1342" s="39"/>
      <c r="H1342" s="139"/>
      <c r="I1342" s="139"/>
      <c r="J1342" s="39"/>
      <c r="K1342" s="139"/>
      <c r="L1342" s="39"/>
      <c r="M1342" s="139">
        <f t="shared" si="37"/>
        <v>0</v>
      </c>
      <c r="N1342" s="139"/>
      <c r="O1342" s="139"/>
      <c r="P1342" s="143"/>
      <c r="Q1342" s="39" t="s">
        <v>513</v>
      </c>
      <c r="R1342" s="39"/>
      <c r="S1342" s="39"/>
      <c r="T1342" s="39"/>
      <c r="U1342" s="39"/>
      <c r="V1342" s="39"/>
    </row>
    <row r="1343" spans="1:22">
      <c r="A1343" s="39"/>
      <c r="B1343" s="39"/>
      <c r="C1343" s="39"/>
      <c r="D1343" s="39"/>
      <c r="E1343" s="139"/>
      <c r="F1343" s="139"/>
      <c r="G1343" s="39"/>
      <c r="H1343" s="139"/>
      <c r="I1343" s="139"/>
      <c r="J1343" s="39"/>
      <c r="K1343" s="139"/>
      <c r="L1343" s="39"/>
      <c r="M1343" s="139">
        <f t="shared" si="37"/>
        <v>0</v>
      </c>
      <c r="N1343" s="139"/>
      <c r="O1343" s="139"/>
      <c r="P1343" s="143"/>
      <c r="Q1343" s="39" t="s">
        <v>513</v>
      </c>
      <c r="R1343" s="39"/>
      <c r="S1343" s="39"/>
      <c r="T1343" s="39"/>
      <c r="U1343" s="39"/>
      <c r="V1343" s="39"/>
    </row>
    <row r="1344" spans="1:22">
      <c r="A1344" s="39"/>
      <c r="B1344" s="39"/>
      <c r="C1344" s="39"/>
      <c r="D1344" s="39"/>
      <c r="E1344" s="139"/>
      <c r="F1344" s="139"/>
      <c r="G1344" s="39"/>
      <c r="H1344" s="139"/>
      <c r="I1344" s="139"/>
      <c r="J1344" s="39"/>
      <c r="K1344" s="139"/>
      <c r="L1344" s="39"/>
      <c r="M1344" s="139">
        <f t="shared" si="37"/>
        <v>0</v>
      </c>
      <c r="N1344" s="139"/>
      <c r="O1344" s="139"/>
      <c r="P1344" s="143"/>
      <c r="Q1344" s="39" t="s">
        <v>513</v>
      </c>
      <c r="R1344" s="39"/>
      <c r="S1344" s="39"/>
      <c r="T1344" s="39"/>
      <c r="U1344" s="39"/>
      <c r="V1344" s="39"/>
    </row>
    <row r="1345" spans="1:22">
      <c r="A1345" s="39"/>
      <c r="B1345" s="39"/>
      <c r="C1345" s="39"/>
      <c r="D1345" s="39"/>
      <c r="E1345" s="139"/>
      <c r="F1345" s="139"/>
      <c r="G1345" s="39"/>
      <c r="H1345" s="139"/>
      <c r="I1345" s="139"/>
      <c r="J1345" s="39"/>
      <c r="K1345" s="139"/>
      <c r="L1345" s="39"/>
      <c r="M1345" s="139">
        <f t="shared" si="37"/>
        <v>0</v>
      </c>
      <c r="N1345" s="139"/>
      <c r="O1345" s="139"/>
      <c r="P1345" s="143"/>
      <c r="Q1345" s="39" t="s">
        <v>513</v>
      </c>
      <c r="R1345" s="39"/>
      <c r="S1345" s="39"/>
      <c r="T1345" s="39"/>
      <c r="U1345" s="39"/>
      <c r="V1345" s="39"/>
    </row>
    <row r="1346" spans="1:22">
      <c r="A1346" s="39"/>
      <c r="B1346" s="39"/>
      <c r="C1346" s="39"/>
      <c r="D1346" s="39"/>
      <c r="E1346" s="139"/>
      <c r="F1346" s="139"/>
      <c r="G1346" s="39"/>
      <c r="H1346" s="139"/>
      <c r="I1346" s="139"/>
      <c r="J1346" s="39"/>
      <c r="K1346" s="139"/>
      <c r="L1346" s="39"/>
      <c r="M1346" s="139">
        <f t="shared" si="37"/>
        <v>0</v>
      </c>
      <c r="N1346" s="139"/>
      <c r="O1346" s="139"/>
      <c r="P1346" s="143"/>
      <c r="Q1346" s="39" t="s">
        <v>513</v>
      </c>
      <c r="R1346" s="39"/>
      <c r="S1346" s="39"/>
      <c r="T1346" s="39"/>
      <c r="U1346" s="39"/>
      <c r="V1346" s="39"/>
    </row>
    <row r="1347" spans="1:22">
      <c r="A1347" s="39"/>
      <c r="B1347" s="39"/>
      <c r="C1347" s="39"/>
      <c r="D1347" s="39"/>
      <c r="E1347" s="139"/>
      <c r="F1347" s="139"/>
      <c r="G1347" s="39"/>
      <c r="H1347" s="139"/>
      <c r="I1347" s="139"/>
      <c r="J1347" s="39"/>
      <c r="K1347" s="139"/>
      <c r="L1347" s="39"/>
      <c r="M1347" s="139">
        <f t="shared" si="37"/>
        <v>0</v>
      </c>
      <c r="N1347" s="139"/>
      <c r="O1347" s="139"/>
      <c r="P1347" s="143"/>
      <c r="Q1347" s="39" t="s">
        <v>513</v>
      </c>
      <c r="R1347" s="39"/>
      <c r="S1347" s="39"/>
      <c r="T1347" s="39"/>
      <c r="U1347" s="39"/>
      <c r="V1347" s="39"/>
    </row>
    <row r="1348" spans="1:22">
      <c r="A1348" s="39"/>
      <c r="B1348" s="39"/>
      <c r="C1348" s="39"/>
      <c r="D1348" s="39"/>
      <c r="E1348" s="139"/>
      <c r="F1348" s="139"/>
      <c r="G1348" s="39"/>
      <c r="H1348" s="139"/>
      <c r="I1348" s="139"/>
      <c r="J1348" s="39"/>
      <c r="K1348" s="139"/>
      <c r="L1348" s="39"/>
      <c r="M1348" s="139">
        <f t="shared" si="37"/>
        <v>0</v>
      </c>
      <c r="N1348" s="139"/>
      <c r="O1348" s="139"/>
      <c r="P1348" s="143"/>
      <c r="Q1348" s="39" t="s">
        <v>513</v>
      </c>
      <c r="R1348" s="39"/>
      <c r="S1348" s="39"/>
      <c r="T1348" s="39"/>
      <c r="U1348" s="39"/>
      <c r="V1348" s="39"/>
    </row>
    <row r="1349" spans="1:22">
      <c r="A1349" s="39"/>
      <c r="B1349" s="39"/>
      <c r="C1349" s="39"/>
      <c r="D1349" s="39"/>
      <c r="E1349" s="139"/>
      <c r="F1349" s="139"/>
      <c r="G1349" s="39"/>
      <c r="H1349" s="139"/>
      <c r="I1349" s="139"/>
      <c r="J1349" s="39"/>
      <c r="K1349" s="139"/>
      <c r="L1349" s="39"/>
      <c r="M1349" s="139">
        <f t="shared" si="37"/>
        <v>0</v>
      </c>
      <c r="N1349" s="139"/>
      <c r="O1349" s="139"/>
      <c r="P1349" s="143"/>
      <c r="Q1349" s="39" t="s">
        <v>513</v>
      </c>
      <c r="R1349" s="39"/>
      <c r="S1349" s="39"/>
      <c r="T1349" s="39"/>
      <c r="U1349" s="39"/>
      <c r="V1349" s="39"/>
    </row>
    <row r="1350" spans="1:22">
      <c r="A1350" s="39"/>
      <c r="B1350" s="39"/>
      <c r="C1350" s="39"/>
      <c r="D1350" s="39"/>
      <c r="E1350" s="139"/>
      <c r="F1350" s="139"/>
      <c r="G1350" s="39"/>
      <c r="H1350" s="139"/>
      <c r="I1350" s="139"/>
      <c r="J1350" s="39"/>
      <c r="K1350" s="139"/>
      <c r="L1350" s="39"/>
      <c r="M1350" s="139">
        <f t="shared" si="37"/>
        <v>0</v>
      </c>
      <c r="N1350" s="139"/>
      <c r="O1350" s="139"/>
      <c r="P1350" s="143"/>
      <c r="Q1350" s="39" t="s">
        <v>513</v>
      </c>
      <c r="R1350" s="39"/>
      <c r="S1350" s="39"/>
      <c r="T1350" s="39"/>
      <c r="U1350" s="39"/>
      <c r="V1350" s="39"/>
    </row>
    <row r="1351" spans="1:22">
      <c r="A1351" s="39"/>
      <c r="B1351" s="39"/>
      <c r="C1351" s="39"/>
      <c r="D1351" s="39"/>
      <c r="E1351" s="139"/>
      <c r="F1351" s="139"/>
      <c r="G1351" s="39"/>
      <c r="H1351" s="139"/>
      <c r="I1351" s="139"/>
      <c r="J1351" s="39"/>
      <c r="K1351" s="139"/>
      <c r="L1351" s="39"/>
      <c r="M1351" s="139">
        <f t="shared" si="37"/>
        <v>0</v>
      </c>
      <c r="N1351" s="139"/>
      <c r="O1351" s="139"/>
      <c r="P1351" s="143"/>
      <c r="Q1351" s="39" t="s">
        <v>513</v>
      </c>
      <c r="R1351" s="39"/>
      <c r="S1351" s="39"/>
      <c r="T1351" s="39"/>
      <c r="U1351" s="39"/>
      <c r="V1351" s="39"/>
    </row>
    <row r="1352" spans="1:22">
      <c r="A1352" s="39"/>
      <c r="B1352" s="39"/>
      <c r="C1352" s="39"/>
      <c r="D1352" s="39"/>
      <c r="E1352" s="139"/>
      <c r="F1352" s="139"/>
      <c r="G1352" s="39"/>
      <c r="H1352" s="139"/>
      <c r="I1352" s="139"/>
      <c r="J1352" s="39"/>
      <c r="K1352" s="139"/>
      <c r="L1352" s="39"/>
      <c r="M1352" s="139">
        <f t="shared" si="37"/>
        <v>0</v>
      </c>
      <c r="N1352" s="139"/>
      <c r="O1352" s="139"/>
      <c r="P1352" s="143"/>
      <c r="Q1352" s="39" t="s">
        <v>513</v>
      </c>
      <c r="R1352" s="39"/>
      <c r="S1352" s="39"/>
      <c r="T1352" s="39"/>
      <c r="U1352" s="39"/>
      <c r="V1352" s="39"/>
    </row>
    <row r="1353" spans="1:22">
      <c r="A1353" s="39"/>
      <c r="B1353" s="39"/>
      <c r="C1353" s="39"/>
      <c r="D1353" s="39"/>
      <c r="E1353" s="139"/>
      <c r="F1353" s="139"/>
      <c r="G1353" s="39"/>
      <c r="H1353" s="139"/>
      <c r="I1353" s="139"/>
      <c r="J1353" s="39"/>
      <c r="K1353" s="139"/>
      <c r="L1353" s="39"/>
      <c r="M1353" s="139">
        <f t="shared" si="37"/>
        <v>0</v>
      </c>
      <c r="N1353" s="139"/>
      <c r="O1353" s="139"/>
      <c r="P1353" s="143"/>
      <c r="Q1353" s="39" t="s">
        <v>513</v>
      </c>
      <c r="R1353" s="39"/>
      <c r="S1353" s="39"/>
      <c r="T1353" s="39"/>
      <c r="U1353" s="39"/>
      <c r="V1353" s="39"/>
    </row>
    <row r="1354" spans="1:22">
      <c r="A1354" s="39"/>
      <c r="B1354" s="39"/>
      <c r="C1354" s="39"/>
      <c r="D1354" s="39"/>
      <c r="E1354" s="139"/>
      <c r="F1354" s="139"/>
      <c r="G1354" s="39"/>
      <c r="H1354" s="139"/>
      <c r="I1354" s="139"/>
      <c r="J1354" s="39"/>
      <c r="K1354" s="139"/>
      <c r="L1354" s="39"/>
      <c r="M1354" s="139">
        <f t="shared" si="37"/>
        <v>0</v>
      </c>
      <c r="N1354" s="139"/>
      <c r="O1354" s="139"/>
      <c r="P1354" s="143"/>
      <c r="Q1354" s="39" t="s">
        <v>513</v>
      </c>
      <c r="R1354" s="39"/>
      <c r="S1354" s="39"/>
      <c r="T1354" s="39"/>
      <c r="U1354" s="39"/>
      <c r="V1354" s="39"/>
    </row>
    <row r="1355" spans="1:22">
      <c r="A1355" s="39"/>
      <c r="B1355" s="39"/>
      <c r="C1355" s="39"/>
      <c r="D1355" s="39"/>
      <c r="E1355" s="139"/>
      <c r="F1355" s="139"/>
      <c r="G1355" s="39"/>
      <c r="H1355" s="139"/>
      <c r="I1355" s="139"/>
      <c r="J1355" s="39"/>
      <c r="K1355" s="139"/>
      <c r="L1355" s="39"/>
      <c r="M1355" s="139">
        <f t="shared" ref="M1355:M1376" si="38">K1355*H1355</f>
        <v>0</v>
      </c>
      <c r="N1355" s="139"/>
      <c r="O1355" s="139"/>
      <c r="P1355" s="143"/>
      <c r="Q1355" s="39" t="s">
        <v>513</v>
      </c>
      <c r="R1355" s="39"/>
      <c r="S1355" s="39"/>
      <c r="T1355" s="39"/>
      <c r="U1355" s="39"/>
      <c r="V1355" s="39"/>
    </row>
    <row r="1356" spans="1:22">
      <c r="A1356" s="39"/>
      <c r="B1356" s="39"/>
      <c r="C1356" s="39"/>
      <c r="D1356" s="39"/>
      <c r="E1356" s="139"/>
      <c r="F1356" s="139"/>
      <c r="G1356" s="39"/>
      <c r="H1356" s="139"/>
      <c r="I1356" s="139"/>
      <c r="J1356" s="39"/>
      <c r="K1356" s="139"/>
      <c r="L1356" s="39"/>
      <c r="M1356" s="139">
        <f t="shared" si="38"/>
        <v>0</v>
      </c>
      <c r="N1356" s="139"/>
      <c r="O1356" s="139"/>
      <c r="P1356" s="143"/>
      <c r="Q1356" s="39" t="s">
        <v>513</v>
      </c>
      <c r="R1356" s="39"/>
      <c r="S1356" s="39"/>
      <c r="T1356" s="39"/>
      <c r="U1356" s="39"/>
      <c r="V1356" s="39"/>
    </row>
    <row r="1357" spans="1:22">
      <c r="A1357" s="39"/>
      <c r="B1357" s="39"/>
      <c r="C1357" s="39"/>
      <c r="D1357" s="39"/>
      <c r="E1357" s="139"/>
      <c r="F1357" s="139"/>
      <c r="G1357" s="39"/>
      <c r="H1357" s="139"/>
      <c r="I1357" s="139"/>
      <c r="J1357" s="39"/>
      <c r="K1357" s="139"/>
      <c r="L1357" s="39"/>
      <c r="M1357" s="139">
        <f t="shared" si="38"/>
        <v>0</v>
      </c>
      <c r="N1357" s="139"/>
      <c r="O1357" s="139"/>
      <c r="P1357" s="143"/>
      <c r="Q1357" s="39" t="s">
        <v>513</v>
      </c>
      <c r="R1357" s="39"/>
      <c r="S1357" s="39"/>
      <c r="T1357" s="39"/>
      <c r="U1357" s="39"/>
      <c r="V1357" s="39"/>
    </row>
    <row r="1358" spans="1:22">
      <c r="A1358" s="39"/>
      <c r="B1358" s="39"/>
      <c r="C1358" s="39"/>
      <c r="D1358" s="39"/>
      <c r="E1358" s="139"/>
      <c r="F1358" s="139"/>
      <c r="G1358" s="39"/>
      <c r="H1358" s="139"/>
      <c r="I1358" s="139"/>
      <c r="J1358" s="39"/>
      <c r="K1358" s="139"/>
      <c r="L1358" s="39"/>
      <c r="M1358" s="139">
        <f t="shared" si="38"/>
        <v>0</v>
      </c>
      <c r="N1358" s="139"/>
      <c r="O1358" s="139"/>
      <c r="P1358" s="143"/>
      <c r="Q1358" s="39" t="s">
        <v>513</v>
      </c>
      <c r="R1358" s="39"/>
      <c r="S1358" s="39"/>
      <c r="T1358" s="39"/>
      <c r="U1358" s="39"/>
      <c r="V1358" s="39"/>
    </row>
    <row r="1359" spans="1:22">
      <c r="A1359" s="39"/>
      <c r="B1359" s="39"/>
      <c r="C1359" s="39"/>
      <c r="D1359" s="39"/>
      <c r="E1359" s="139"/>
      <c r="F1359" s="139"/>
      <c r="G1359" s="39"/>
      <c r="H1359" s="139"/>
      <c r="I1359" s="139"/>
      <c r="J1359" s="39"/>
      <c r="K1359" s="139"/>
      <c r="L1359" s="39"/>
      <c r="M1359" s="139">
        <f t="shared" si="38"/>
        <v>0</v>
      </c>
      <c r="N1359" s="139"/>
      <c r="O1359" s="139"/>
      <c r="P1359" s="143"/>
      <c r="Q1359" s="39" t="s">
        <v>513</v>
      </c>
      <c r="R1359" s="39"/>
      <c r="S1359" s="39"/>
      <c r="T1359" s="39"/>
      <c r="U1359" s="39"/>
      <c r="V1359" s="39"/>
    </row>
    <row r="1360" spans="1:22">
      <c r="A1360" s="39"/>
      <c r="B1360" s="39"/>
      <c r="C1360" s="39"/>
      <c r="D1360" s="39"/>
      <c r="E1360" s="139"/>
      <c r="F1360" s="139"/>
      <c r="G1360" s="39"/>
      <c r="H1360" s="139"/>
      <c r="I1360" s="139"/>
      <c r="J1360" s="39"/>
      <c r="K1360" s="139"/>
      <c r="L1360" s="39"/>
      <c r="M1360" s="139">
        <f t="shared" si="38"/>
        <v>0</v>
      </c>
      <c r="N1360" s="139"/>
      <c r="O1360" s="139"/>
      <c r="P1360" s="143"/>
      <c r="Q1360" s="39" t="s">
        <v>513</v>
      </c>
      <c r="R1360" s="39"/>
      <c r="S1360" s="39"/>
      <c r="T1360" s="39"/>
      <c r="U1360" s="39"/>
      <c r="V1360" s="39"/>
    </row>
    <row r="1361" spans="1:22">
      <c r="A1361" s="39"/>
      <c r="B1361" s="39"/>
      <c r="C1361" s="39"/>
      <c r="D1361" s="39"/>
      <c r="E1361" s="139"/>
      <c r="F1361" s="139"/>
      <c r="G1361" s="39"/>
      <c r="H1361" s="139"/>
      <c r="I1361" s="139"/>
      <c r="J1361" s="39"/>
      <c r="K1361" s="139"/>
      <c r="L1361" s="39"/>
      <c r="M1361" s="139">
        <f t="shared" si="38"/>
        <v>0</v>
      </c>
      <c r="N1361" s="139"/>
      <c r="O1361" s="139"/>
      <c r="P1361" s="143"/>
      <c r="Q1361" s="39" t="s">
        <v>513</v>
      </c>
      <c r="R1361" s="39"/>
      <c r="S1361" s="39"/>
      <c r="T1361" s="39"/>
      <c r="U1361" s="39"/>
      <c r="V1361" s="39"/>
    </row>
    <row r="1362" spans="1:22">
      <c r="A1362" s="39"/>
      <c r="B1362" s="39"/>
      <c r="C1362" s="39"/>
      <c r="D1362" s="39"/>
      <c r="E1362" s="139"/>
      <c r="F1362" s="139"/>
      <c r="G1362" s="39"/>
      <c r="H1362" s="139"/>
      <c r="I1362" s="139"/>
      <c r="J1362" s="39"/>
      <c r="K1362" s="139"/>
      <c r="L1362" s="39"/>
      <c r="M1362" s="139">
        <f t="shared" si="38"/>
        <v>0</v>
      </c>
      <c r="N1362" s="139"/>
      <c r="O1362" s="139"/>
      <c r="P1362" s="143"/>
      <c r="Q1362" s="39" t="s">
        <v>513</v>
      </c>
      <c r="R1362" s="39"/>
      <c r="S1362" s="39"/>
      <c r="T1362" s="39"/>
      <c r="U1362" s="39"/>
      <c r="V1362" s="39"/>
    </row>
    <row r="1363" spans="1:22">
      <c r="A1363" s="39"/>
      <c r="B1363" s="39"/>
      <c r="C1363" s="39"/>
      <c r="D1363" s="39"/>
      <c r="E1363" s="139"/>
      <c r="F1363" s="139"/>
      <c r="G1363" s="39"/>
      <c r="H1363" s="139"/>
      <c r="I1363" s="139"/>
      <c r="J1363" s="39"/>
      <c r="K1363" s="139"/>
      <c r="L1363" s="39"/>
      <c r="M1363" s="139">
        <f t="shared" si="38"/>
        <v>0</v>
      </c>
      <c r="N1363" s="139"/>
      <c r="O1363" s="139"/>
      <c r="P1363" s="143"/>
      <c r="Q1363" s="39" t="s">
        <v>513</v>
      </c>
      <c r="R1363" s="39"/>
      <c r="S1363" s="39"/>
      <c r="T1363" s="39"/>
      <c r="U1363" s="39"/>
      <c r="V1363" s="39"/>
    </row>
    <row r="1364" spans="1:22">
      <c r="A1364" s="39"/>
      <c r="B1364" s="39"/>
      <c r="C1364" s="39"/>
      <c r="D1364" s="39"/>
      <c r="E1364" s="139"/>
      <c r="F1364" s="139"/>
      <c r="G1364" s="39"/>
      <c r="H1364" s="139"/>
      <c r="I1364" s="139"/>
      <c r="J1364" s="39"/>
      <c r="K1364" s="139"/>
      <c r="L1364" s="39"/>
      <c r="M1364" s="139">
        <f t="shared" si="38"/>
        <v>0</v>
      </c>
      <c r="N1364" s="139"/>
      <c r="O1364" s="139"/>
      <c r="P1364" s="143"/>
      <c r="Q1364" s="39" t="s">
        <v>513</v>
      </c>
      <c r="R1364" s="39"/>
      <c r="S1364" s="39"/>
      <c r="T1364" s="39"/>
      <c r="U1364" s="39"/>
      <c r="V1364" s="39"/>
    </row>
    <row r="1365" spans="1:22">
      <c r="A1365" s="39"/>
      <c r="B1365" s="39"/>
      <c r="C1365" s="39"/>
      <c r="D1365" s="39"/>
      <c r="E1365" s="139"/>
      <c r="F1365" s="139"/>
      <c r="G1365" s="39"/>
      <c r="H1365" s="139"/>
      <c r="I1365" s="139"/>
      <c r="J1365" s="39"/>
      <c r="K1365" s="139"/>
      <c r="L1365" s="39"/>
      <c r="M1365" s="139">
        <f t="shared" si="38"/>
        <v>0</v>
      </c>
      <c r="N1365" s="139"/>
      <c r="O1365" s="139"/>
      <c r="P1365" s="143"/>
      <c r="Q1365" s="39" t="s">
        <v>513</v>
      </c>
      <c r="R1365" s="39"/>
      <c r="S1365" s="39"/>
      <c r="T1365" s="39"/>
      <c r="U1365" s="39"/>
      <c r="V1365" s="39"/>
    </row>
    <row r="1366" spans="1:22">
      <c r="A1366" s="39"/>
      <c r="B1366" s="39"/>
      <c r="C1366" s="39"/>
      <c r="D1366" s="39"/>
      <c r="E1366" s="139"/>
      <c r="F1366" s="139"/>
      <c r="G1366" s="39"/>
      <c r="H1366" s="139"/>
      <c r="I1366" s="139"/>
      <c r="J1366" s="39"/>
      <c r="K1366" s="139"/>
      <c r="L1366" s="39"/>
      <c r="M1366" s="139">
        <f t="shared" si="38"/>
        <v>0</v>
      </c>
      <c r="N1366" s="139"/>
      <c r="O1366" s="139"/>
      <c r="P1366" s="143"/>
      <c r="Q1366" s="39" t="s">
        <v>513</v>
      </c>
      <c r="R1366" s="39"/>
      <c r="S1366" s="39"/>
      <c r="T1366" s="39"/>
      <c r="U1366" s="39"/>
      <c r="V1366" s="39"/>
    </row>
    <row r="1367" spans="1:22">
      <c r="A1367" s="39"/>
      <c r="B1367" s="39"/>
      <c r="C1367" s="39"/>
      <c r="D1367" s="39"/>
      <c r="E1367" s="139"/>
      <c r="F1367" s="139"/>
      <c r="G1367" s="39"/>
      <c r="H1367" s="139"/>
      <c r="I1367" s="139"/>
      <c r="J1367" s="39"/>
      <c r="K1367" s="139"/>
      <c r="L1367" s="39"/>
      <c r="M1367" s="139">
        <f t="shared" si="38"/>
        <v>0</v>
      </c>
      <c r="N1367" s="139"/>
      <c r="O1367" s="139"/>
      <c r="P1367" s="143"/>
      <c r="Q1367" s="39" t="s">
        <v>513</v>
      </c>
      <c r="R1367" s="39"/>
      <c r="S1367" s="39"/>
      <c r="T1367" s="39"/>
      <c r="U1367" s="39"/>
      <c r="V1367" s="39"/>
    </row>
    <row r="1368" spans="1:22">
      <c r="A1368" s="39"/>
      <c r="B1368" s="39"/>
      <c r="C1368" s="39"/>
      <c r="D1368" s="39"/>
      <c r="E1368" s="139"/>
      <c r="F1368" s="139"/>
      <c r="G1368" s="39"/>
      <c r="H1368" s="139"/>
      <c r="I1368" s="139"/>
      <c r="J1368" s="39"/>
      <c r="K1368" s="139"/>
      <c r="L1368" s="39"/>
      <c r="M1368" s="139">
        <f t="shared" si="38"/>
        <v>0</v>
      </c>
      <c r="N1368" s="139"/>
      <c r="O1368" s="139"/>
      <c r="P1368" s="143"/>
      <c r="Q1368" s="39" t="s">
        <v>513</v>
      </c>
      <c r="R1368" s="39"/>
      <c r="S1368" s="39"/>
      <c r="T1368" s="39"/>
      <c r="U1368" s="39"/>
      <c r="V1368" s="39"/>
    </row>
    <row r="1369" spans="1:22">
      <c r="A1369" s="39"/>
      <c r="B1369" s="39"/>
      <c r="C1369" s="39"/>
      <c r="D1369" s="39"/>
      <c r="E1369" s="139"/>
      <c r="F1369" s="139"/>
      <c r="G1369" s="39"/>
      <c r="H1369" s="139"/>
      <c r="I1369" s="139"/>
      <c r="J1369" s="39"/>
      <c r="K1369" s="139"/>
      <c r="L1369" s="39"/>
      <c r="M1369" s="139">
        <f t="shared" si="38"/>
        <v>0</v>
      </c>
      <c r="N1369" s="139"/>
      <c r="O1369" s="139"/>
      <c r="P1369" s="143"/>
      <c r="Q1369" s="39" t="s">
        <v>513</v>
      </c>
      <c r="R1369" s="39"/>
      <c r="S1369" s="39"/>
      <c r="T1369" s="39"/>
      <c r="U1369" s="39"/>
      <c r="V1369" s="39"/>
    </row>
    <row r="1370" spans="1:22">
      <c r="A1370" s="39"/>
      <c r="B1370" s="39"/>
      <c r="C1370" s="39"/>
      <c r="D1370" s="39"/>
      <c r="E1370" s="139"/>
      <c r="F1370" s="139"/>
      <c r="G1370" s="39"/>
      <c r="H1370" s="139"/>
      <c r="I1370" s="139"/>
      <c r="J1370" s="39"/>
      <c r="K1370" s="139"/>
      <c r="L1370" s="39"/>
      <c r="M1370" s="139">
        <f t="shared" si="38"/>
        <v>0</v>
      </c>
      <c r="N1370" s="139"/>
      <c r="O1370" s="139"/>
      <c r="P1370" s="143"/>
      <c r="Q1370" s="39" t="s">
        <v>513</v>
      </c>
      <c r="R1370" s="39"/>
      <c r="S1370" s="39"/>
      <c r="T1370" s="39"/>
      <c r="U1370" s="39"/>
      <c r="V1370" s="39"/>
    </row>
    <row r="1371" spans="1:22">
      <c r="A1371" s="39"/>
      <c r="B1371" s="39"/>
      <c r="C1371" s="39"/>
      <c r="D1371" s="39"/>
      <c r="E1371" s="139"/>
      <c r="F1371" s="139"/>
      <c r="G1371" s="39"/>
      <c r="H1371" s="139"/>
      <c r="I1371" s="139"/>
      <c r="J1371" s="39"/>
      <c r="K1371" s="139"/>
      <c r="L1371" s="39"/>
      <c r="M1371" s="139">
        <f t="shared" si="38"/>
        <v>0</v>
      </c>
      <c r="N1371" s="139"/>
      <c r="O1371" s="139"/>
      <c r="P1371" s="143"/>
      <c r="Q1371" s="39" t="s">
        <v>513</v>
      </c>
      <c r="R1371" s="39"/>
      <c r="S1371" s="39"/>
      <c r="T1371" s="39"/>
      <c r="U1371" s="39"/>
      <c r="V1371" s="39"/>
    </row>
    <row r="1372" spans="1:22">
      <c r="A1372" s="39"/>
      <c r="B1372" s="39"/>
      <c r="C1372" s="39"/>
      <c r="D1372" s="39"/>
      <c r="E1372" s="139"/>
      <c r="F1372" s="139"/>
      <c r="G1372" s="39"/>
      <c r="H1372" s="139"/>
      <c r="I1372" s="139"/>
      <c r="J1372" s="39"/>
      <c r="K1372" s="139"/>
      <c r="L1372" s="39"/>
      <c r="M1372" s="139">
        <f t="shared" si="38"/>
        <v>0</v>
      </c>
      <c r="N1372" s="139"/>
      <c r="O1372" s="139"/>
      <c r="P1372" s="143"/>
      <c r="Q1372" s="39" t="s">
        <v>513</v>
      </c>
      <c r="R1372" s="39"/>
      <c r="S1372" s="39"/>
      <c r="T1372" s="39"/>
      <c r="U1372" s="39"/>
      <c r="V1372" s="39"/>
    </row>
    <row r="1373" spans="1:22">
      <c r="A1373" s="39"/>
      <c r="B1373" s="39"/>
      <c r="C1373" s="39"/>
      <c r="D1373" s="39"/>
      <c r="E1373" s="139"/>
      <c r="F1373" s="139"/>
      <c r="G1373" s="39"/>
      <c r="H1373" s="139"/>
      <c r="I1373" s="139"/>
      <c r="J1373" s="39"/>
      <c r="K1373" s="139"/>
      <c r="L1373" s="39"/>
      <c r="M1373" s="139">
        <f t="shared" si="38"/>
        <v>0</v>
      </c>
      <c r="N1373" s="139"/>
      <c r="O1373" s="139"/>
      <c r="P1373" s="143"/>
      <c r="Q1373" s="39" t="s">
        <v>513</v>
      </c>
      <c r="R1373" s="39"/>
      <c r="S1373" s="39"/>
      <c r="T1373" s="39"/>
      <c r="U1373" s="39"/>
      <c r="V1373" s="39"/>
    </row>
    <row r="1374" spans="1:22">
      <c r="A1374" s="39"/>
      <c r="B1374" s="39"/>
      <c r="C1374" s="39"/>
      <c r="D1374" s="39"/>
      <c r="E1374" s="139"/>
      <c r="F1374" s="139"/>
      <c r="G1374" s="39"/>
      <c r="H1374" s="139"/>
      <c r="I1374" s="139"/>
      <c r="J1374" s="39"/>
      <c r="K1374" s="139"/>
      <c r="L1374" s="39"/>
      <c r="M1374" s="139">
        <f t="shared" si="38"/>
        <v>0</v>
      </c>
      <c r="N1374" s="139"/>
      <c r="O1374" s="139"/>
      <c r="P1374" s="143"/>
      <c r="Q1374" s="39" t="s">
        <v>513</v>
      </c>
      <c r="R1374" s="39"/>
      <c r="S1374" s="39"/>
      <c r="T1374" s="39"/>
      <c r="U1374" s="39"/>
      <c r="V1374" s="39"/>
    </row>
    <row r="1375" spans="1:22">
      <c r="A1375" s="39"/>
      <c r="B1375" s="39"/>
      <c r="C1375" s="39"/>
      <c r="D1375" s="39"/>
      <c r="E1375" s="139"/>
      <c r="F1375" s="139"/>
      <c r="G1375" s="39"/>
      <c r="H1375" s="139"/>
      <c r="I1375" s="139"/>
      <c r="J1375" s="39"/>
      <c r="K1375" s="139"/>
      <c r="L1375" s="39"/>
      <c r="M1375" s="139">
        <f t="shared" si="38"/>
        <v>0</v>
      </c>
      <c r="N1375" s="139"/>
      <c r="O1375" s="139"/>
      <c r="P1375" s="143"/>
      <c r="Q1375" s="39" t="s">
        <v>513</v>
      </c>
      <c r="R1375" s="39"/>
      <c r="S1375" s="39"/>
      <c r="T1375" s="39"/>
      <c r="U1375" s="39"/>
      <c r="V1375" s="39"/>
    </row>
    <row r="1376" spans="1:22">
      <c r="A1376" s="39"/>
      <c r="B1376" s="39"/>
      <c r="C1376" s="39"/>
      <c r="D1376" s="39"/>
      <c r="E1376" s="139"/>
      <c r="F1376" s="139"/>
      <c r="G1376" s="39"/>
      <c r="H1376" s="139"/>
      <c r="I1376" s="139"/>
      <c r="J1376" s="39"/>
      <c r="K1376" s="139"/>
      <c r="L1376" s="39"/>
      <c r="M1376" s="139">
        <f t="shared" si="38"/>
        <v>0</v>
      </c>
      <c r="N1376" s="139"/>
      <c r="O1376" s="139"/>
      <c r="P1376" s="143"/>
      <c r="Q1376" s="39" t="s">
        <v>513</v>
      </c>
      <c r="R1376" s="39"/>
      <c r="S1376" s="39"/>
      <c r="T1376" s="39"/>
      <c r="U1376" s="39"/>
      <c r="V1376" s="39"/>
    </row>
  </sheetData>
  <autoFilter xmlns:etc="http://www.wps.cn/officeDocument/2017/etCustomData" ref="A2:V1376" etc:filterBottomFollowUsedRange="0">
    <extLst/>
  </autoFilter>
  <mergeCells count="206">
    <mergeCell ref="A225:A226"/>
    <mergeCell ref="A228:A229"/>
    <mergeCell ref="B225:B226"/>
    <mergeCell ref="B821:B822"/>
    <mergeCell ref="C225:C226"/>
    <mergeCell ref="C821:C822"/>
    <mergeCell ref="D225:D226"/>
    <mergeCell ref="D821:D822"/>
    <mergeCell ref="E94:E96"/>
    <mergeCell ref="E97:E98"/>
    <mergeCell ref="E99:E100"/>
    <mergeCell ref="E114:E117"/>
    <mergeCell ref="E119:E120"/>
    <mergeCell ref="E132:E133"/>
    <mergeCell ref="E136:E137"/>
    <mergeCell ref="E138:E141"/>
    <mergeCell ref="E144:E149"/>
    <mergeCell ref="E150:E152"/>
    <mergeCell ref="E153:E154"/>
    <mergeCell ref="E156:E157"/>
    <mergeCell ref="E158:E159"/>
    <mergeCell ref="E168:E169"/>
    <mergeCell ref="E170:E173"/>
    <mergeCell ref="E174:E181"/>
    <mergeCell ref="E182:E197"/>
    <mergeCell ref="E198:E199"/>
    <mergeCell ref="E203:E205"/>
    <mergeCell ref="E212:E215"/>
    <mergeCell ref="E218:E219"/>
    <mergeCell ref="E225:E226"/>
    <mergeCell ref="E821:E822"/>
    <mergeCell ref="F94:F96"/>
    <mergeCell ref="F273:F274"/>
    <mergeCell ref="G144:G149"/>
    <mergeCell ref="I114:I117"/>
    <mergeCell ref="I136:I137"/>
    <mergeCell ref="I144:I149"/>
    <mergeCell ref="I150:I152"/>
    <mergeCell ref="I153:I154"/>
    <mergeCell ref="L225:L226"/>
    <mergeCell ref="N89:N90"/>
    <mergeCell ref="N94:N96"/>
    <mergeCell ref="N97:N98"/>
    <mergeCell ref="N99:N100"/>
    <mergeCell ref="N114:N117"/>
    <mergeCell ref="N119:N120"/>
    <mergeCell ref="N132:N133"/>
    <mergeCell ref="N136:N137"/>
    <mergeCell ref="N138:N141"/>
    <mergeCell ref="N144:N149"/>
    <mergeCell ref="N150:N152"/>
    <mergeCell ref="N153:N154"/>
    <mergeCell ref="N156:N157"/>
    <mergeCell ref="N158:N159"/>
    <mergeCell ref="N168:N169"/>
    <mergeCell ref="N170:N173"/>
    <mergeCell ref="N174:N181"/>
    <mergeCell ref="N182:N197"/>
    <mergeCell ref="N198:N199"/>
    <mergeCell ref="N203:N205"/>
    <mergeCell ref="N212:N215"/>
    <mergeCell ref="N218:N219"/>
    <mergeCell ref="N821:N822"/>
    <mergeCell ref="O89:O90"/>
    <mergeCell ref="O94:O96"/>
    <mergeCell ref="O97:O98"/>
    <mergeCell ref="O99:O100"/>
    <mergeCell ref="O114:O117"/>
    <mergeCell ref="O119:O120"/>
    <mergeCell ref="O132:O133"/>
    <mergeCell ref="O136:O137"/>
    <mergeCell ref="O138:O141"/>
    <mergeCell ref="O144:O149"/>
    <mergeCell ref="O150:O152"/>
    <mergeCell ref="O153:O154"/>
    <mergeCell ref="O156:O157"/>
    <mergeCell ref="O158:O159"/>
    <mergeCell ref="O168:O169"/>
    <mergeCell ref="O170:O173"/>
    <mergeCell ref="O174:O181"/>
    <mergeCell ref="O182:O197"/>
    <mergeCell ref="O198:O199"/>
    <mergeCell ref="O203:O205"/>
    <mergeCell ref="O212:O215"/>
    <mergeCell ref="O218:O219"/>
    <mergeCell ref="O229:O230"/>
    <mergeCell ref="O232:O233"/>
    <mergeCell ref="O235:O249"/>
    <mergeCell ref="O250:O253"/>
    <mergeCell ref="O254:O256"/>
    <mergeCell ref="O257:O265"/>
    <mergeCell ref="O266:O267"/>
    <mergeCell ref="O268:O274"/>
    <mergeCell ref="O275:O283"/>
    <mergeCell ref="O284:O286"/>
    <mergeCell ref="O287:O304"/>
    <mergeCell ref="O306:O311"/>
    <mergeCell ref="O312:O314"/>
    <mergeCell ref="O315:O318"/>
    <mergeCell ref="O319:O321"/>
    <mergeCell ref="O322:O326"/>
    <mergeCell ref="O327:O330"/>
    <mergeCell ref="O331:O337"/>
    <mergeCell ref="O338:O343"/>
    <mergeCell ref="O344:O345"/>
    <mergeCell ref="O346:O348"/>
    <mergeCell ref="O349:O350"/>
    <mergeCell ref="O351:O364"/>
    <mergeCell ref="O365:O369"/>
    <mergeCell ref="O370:O374"/>
    <mergeCell ref="O375:O383"/>
    <mergeCell ref="O384:O388"/>
    <mergeCell ref="O389:O394"/>
    <mergeCell ref="O395:O401"/>
    <mergeCell ref="O403:O405"/>
    <mergeCell ref="O406:O412"/>
    <mergeCell ref="O413:O414"/>
    <mergeCell ref="O415:O422"/>
    <mergeCell ref="O423:O440"/>
    <mergeCell ref="O441:O452"/>
    <mergeCell ref="O453:O459"/>
    <mergeCell ref="O460:O477"/>
    <mergeCell ref="O478:O483"/>
    <mergeCell ref="O484:O493"/>
    <mergeCell ref="O494:O497"/>
    <mergeCell ref="O498:O502"/>
    <mergeCell ref="O503:O508"/>
    <mergeCell ref="O509:O519"/>
    <mergeCell ref="O520:O521"/>
    <mergeCell ref="O522:O526"/>
    <mergeCell ref="O527:O532"/>
    <mergeCell ref="O533:O534"/>
    <mergeCell ref="O535:O541"/>
    <mergeCell ref="O542:O549"/>
    <mergeCell ref="O550:O556"/>
    <mergeCell ref="O557:O563"/>
    <mergeCell ref="O564:O572"/>
    <mergeCell ref="O573:O577"/>
    <mergeCell ref="O578:O584"/>
    <mergeCell ref="O585:O586"/>
    <mergeCell ref="O587:O591"/>
    <mergeCell ref="O592:O595"/>
    <mergeCell ref="O596:O602"/>
    <mergeCell ref="O603:O609"/>
    <mergeCell ref="O610:O612"/>
    <mergeCell ref="O613:O623"/>
    <mergeCell ref="O624:O628"/>
    <mergeCell ref="O629:O632"/>
    <mergeCell ref="O634:O635"/>
    <mergeCell ref="O636:O644"/>
    <mergeCell ref="O645:O651"/>
    <mergeCell ref="O652:O661"/>
    <mergeCell ref="O662:O668"/>
    <mergeCell ref="O669:O670"/>
    <mergeCell ref="O671:O679"/>
    <mergeCell ref="O680:O681"/>
    <mergeCell ref="O682:O687"/>
    <mergeCell ref="O688:O696"/>
    <mergeCell ref="O697:O704"/>
    <mergeCell ref="O706:O709"/>
    <mergeCell ref="O710:O716"/>
    <mergeCell ref="O717:O721"/>
    <mergeCell ref="O722:O729"/>
    <mergeCell ref="O730:O731"/>
    <mergeCell ref="O732:O734"/>
    <mergeCell ref="O735:O736"/>
    <mergeCell ref="O737:O743"/>
    <mergeCell ref="O744:O745"/>
    <mergeCell ref="O746:O753"/>
    <mergeCell ref="O754:O757"/>
    <mergeCell ref="O758:O763"/>
    <mergeCell ref="O764:O767"/>
    <mergeCell ref="O768:O778"/>
    <mergeCell ref="O779:O780"/>
    <mergeCell ref="O781:O782"/>
    <mergeCell ref="O783:O784"/>
    <mergeCell ref="O785:O792"/>
    <mergeCell ref="O793:O800"/>
    <mergeCell ref="O801:O807"/>
    <mergeCell ref="O808:O809"/>
    <mergeCell ref="O821:O822"/>
    <mergeCell ref="O829:O831"/>
    <mergeCell ref="P89:P90"/>
    <mergeCell ref="P97:P98"/>
    <mergeCell ref="P114:P117"/>
    <mergeCell ref="P119:P120"/>
    <mergeCell ref="P132:P133"/>
    <mergeCell ref="P136:P137"/>
    <mergeCell ref="P138:P141"/>
    <mergeCell ref="P144:P149"/>
    <mergeCell ref="P150:P152"/>
    <mergeCell ref="P153:P154"/>
    <mergeCell ref="P156:P157"/>
    <mergeCell ref="P158:P159"/>
    <mergeCell ref="P168:P169"/>
    <mergeCell ref="P170:P173"/>
    <mergeCell ref="P174:P181"/>
    <mergeCell ref="P182:P197"/>
    <mergeCell ref="P198:P199"/>
    <mergeCell ref="P203:P205"/>
    <mergeCell ref="P212:P215"/>
    <mergeCell ref="P218:P219"/>
    <mergeCell ref="P829:P831"/>
    <mergeCell ref="R829:R831"/>
    <mergeCell ref="V939:V940"/>
    <mergeCell ref="V945:V947"/>
  </mergeCells>
  <conditionalFormatting sqref="E3">
    <cfRule type="cellIs" priority="1" operator="between">
      <formula>"显示"</formula>
      <formula>"超材料"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U555"/>
  <sheetViews>
    <sheetView workbookViewId="0">
      <pane ySplit="2" topLeftCell="A488" activePane="bottomLeft" state="frozen"/>
      <selection/>
      <selection pane="bottomLeft" activeCell="K550" sqref="K550"/>
    </sheetView>
  </sheetViews>
  <sheetFormatPr defaultColWidth="9" defaultRowHeight="14"/>
  <cols>
    <col min="1" max="1" width="4.86363636363636" customWidth="1"/>
    <col min="2" max="2" width="7" customWidth="1"/>
    <col min="3" max="3" width="8.86363636363636" customWidth="1"/>
    <col min="4" max="4" width="5.13636363636364" customWidth="1"/>
    <col min="5" max="5" width="7" customWidth="1"/>
    <col min="6" max="6" width="18.4636363636364" customWidth="1"/>
    <col min="7" max="7" width="21.2636363636364" style="1" customWidth="1"/>
    <col min="8" max="8" width="5.6" customWidth="1"/>
    <col min="9" max="9" width="5.13636363636364" customWidth="1"/>
    <col min="11" max="11" width="10.7272727272727" customWidth="1"/>
    <col min="13" max="13" width="11.1363636363636" customWidth="1"/>
    <col min="14" max="14" width="10.8636363636364" customWidth="1"/>
    <col min="16" max="16" width="8.86363636363636" customWidth="1"/>
    <col min="17" max="17" width="10.8636363636364" customWidth="1"/>
    <col min="18" max="18" width="8.86363636363636" customWidth="1"/>
    <col min="19" max="19" width="13" customWidth="1"/>
  </cols>
  <sheetData>
    <row r="2" ht="16.5" spans="1:2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2228</v>
      </c>
      <c r="G2" s="2" t="s">
        <v>8</v>
      </c>
      <c r="H2" s="2" t="s">
        <v>2229</v>
      </c>
      <c r="I2" s="2" t="s">
        <v>10</v>
      </c>
      <c r="J2" s="2" t="s">
        <v>11</v>
      </c>
      <c r="K2" s="3" t="s">
        <v>12</v>
      </c>
      <c r="L2" s="3" t="s">
        <v>13</v>
      </c>
      <c r="M2" s="2" t="s">
        <v>14</v>
      </c>
      <c r="N2" s="4" t="s">
        <v>15</v>
      </c>
      <c r="O2" s="5" t="s">
        <v>16</v>
      </c>
      <c r="P2" s="6" t="s">
        <v>17</v>
      </c>
      <c r="Q2" s="7" t="s">
        <v>2230</v>
      </c>
      <c r="R2" s="6" t="s">
        <v>19</v>
      </c>
      <c r="S2" s="6" t="s">
        <v>20</v>
      </c>
      <c r="T2" s="6" t="s">
        <v>21</v>
      </c>
      <c r="U2" s="6" t="s">
        <v>22</v>
      </c>
    </row>
    <row r="3" spans="1:21">
      <c r="A3" s="8">
        <v>1</v>
      </c>
      <c r="B3" s="8" t="s">
        <v>515</v>
      </c>
      <c r="C3" s="8" t="s">
        <v>516</v>
      </c>
      <c r="D3" s="8"/>
      <c r="E3" s="8" t="s">
        <v>129</v>
      </c>
      <c r="F3" s="9" t="s">
        <v>517</v>
      </c>
      <c r="G3" s="9"/>
      <c r="H3" s="10">
        <v>1</v>
      </c>
      <c r="I3" s="10" t="s">
        <v>518</v>
      </c>
      <c r="J3" s="8"/>
      <c r="K3" s="11">
        <v>2485</v>
      </c>
      <c r="L3" s="12">
        <v>0.01</v>
      </c>
      <c r="M3" s="11">
        <f>H3*K3</f>
        <v>2485</v>
      </c>
      <c r="N3" s="8" t="s">
        <v>519</v>
      </c>
      <c r="O3" s="8"/>
    </row>
    <row r="4" spans="1:21">
      <c r="A4" s="8">
        <v>2</v>
      </c>
      <c r="B4" s="8"/>
      <c r="C4" s="8"/>
      <c r="D4" s="8"/>
      <c r="E4" s="8" t="s">
        <v>129</v>
      </c>
      <c r="F4" s="9" t="s">
        <v>520</v>
      </c>
      <c r="G4" s="9"/>
      <c r="H4" s="10">
        <v>2</v>
      </c>
      <c r="I4" s="10" t="s">
        <v>109</v>
      </c>
      <c r="J4" s="8"/>
      <c r="K4" s="11">
        <v>40</v>
      </c>
      <c r="L4" s="12">
        <v>0.01</v>
      </c>
      <c r="M4" s="11">
        <f t="shared" ref="M4:M67" si="0">H4*K4</f>
        <v>80</v>
      </c>
      <c r="N4" s="8" t="s">
        <v>519</v>
      </c>
      <c r="O4" s="8"/>
    </row>
    <row r="5" spans="1:21">
      <c r="A5" s="8">
        <v>3</v>
      </c>
      <c r="B5" s="8"/>
      <c r="C5" s="8"/>
      <c r="D5" s="8"/>
      <c r="E5" s="8" t="s">
        <v>129</v>
      </c>
      <c r="F5" s="9" t="s">
        <v>517</v>
      </c>
      <c r="G5" s="9"/>
      <c r="H5" s="10">
        <v>2</v>
      </c>
      <c r="I5" s="10" t="s">
        <v>518</v>
      </c>
      <c r="J5" s="8"/>
      <c r="K5" s="11">
        <v>2950</v>
      </c>
      <c r="L5" s="12">
        <v>0.01</v>
      </c>
      <c r="M5" s="11">
        <f t="shared" si="0"/>
        <v>5900</v>
      </c>
      <c r="N5" s="8" t="s">
        <v>519</v>
      </c>
      <c r="O5" s="8"/>
    </row>
    <row r="6" spans="1:21">
      <c r="A6" s="8">
        <v>4</v>
      </c>
      <c r="B6" s="8"/>
      <c r="C6" s="8"/>
      <c r="D6" s="8"/>
      <c r="E6" s="8" t="s">
        <v>129</v>
      </c>
      <c r="F6" s="9" t="s">
        <v>521</v>
      </c>
      <c r="G6" s="9" t="s">
        <v>522</v>
      </c>
      <c r="H6" s="10">
        <v>1</v>
      </c>
      <c r="I6" s="10" t="s">
        <v>518</v>
      </c>
      <c r="J6" s="8"/>
      <c r="K6" s="11">
        <v>4699</v>
      </c>
      <c r="L6" s="12">
        <v>0.01</v>
      </c>
      <c r="M6" s="11">
        <f t="shared" si="0"/>
        <v>4699</v>
      </c>
      <c r="N6" s="8" t="s">
        <v>519</v>
      </c>
      <c r="O6" s="8"/>
    </row>
    <row r="7" spans="1:21">
      <c r="A7" s="8">
        <v>5</v>
      </c>
      <c r="B7" s="8"/>
      <c r="C7" s="8"/>
      <c r="D7" s="8"/>
      <c r="E7" s="8" t="s">
        <v>129</v>
      </c>
      <c r="F7" s="9" t="s">
        <v>523</v>
      </c>
      <c r="G7" s="9" t="s">
        <v>524</v>
      </c>
      <c r="H7" s="10">
        <v>1</v>
      </c>
      <c r="I7" s="10" t="s">
        <v>109</v>
      </c>
      <c r="J7" s="8"/>
      <c r="K7" s="11">
        <v>230</v>
      </c>
      <c r="L7" s="12">
        <v>0.01</v>
      </c>
      <c r="M7" s="11">
        <f t="shared" si="0"/>
        <v>230</v>
      </c>
      <c r="N7" s="8" t="s">
        <v>519</v>
      </c>
      <c r="O7" s="8"/>
    </row>
    <row r="8" spans="1:21">
      <c r="A8" s="8">
        <v>6</v>
      </c>
      <c r="B8" s="8"/>
      <c r="C8" s="8"/>
      <c r="D8" s="8"/>
      <c r="E8" s="8" t="s">
        <v>129</v>
      </c>
      <c r="F8" s="9" t="s">
        <v>525</v>
      </c>
      <c r="G8" s="9" t="s">
        <v>526</v>
      </c>
      <c r="H8" s="10">
        <v>2</v>
      </c>
      <c r="I8" s="10" t="s">
        <v>527</v>
      </c>
      <c r="J8" s="8"/>
      <c r="K8" s="11">
        <v>47</v>
      </c>
      <c r="L8" s="12">
        <v>0.01</v>
      </c>
      <c r="M8" s="11">
        <f t="shared" si="0"/>
        <v>94</v>
      </c>
      <c r="N8" s="8" t="s">
        <v>519</v>
      </c>
      <c r="O8" s="8"/>
    </row>
    <row r="9" spans="1:21">
      <c r="A9" s="8">
        <v>7</v>
      </c>
      <c r="B9" s="8"/>
      <c r="C9" s="8"/>
      <c r="D9" s="8"/>
      <c r="E9" s="8" t="s">
        <v>129</v>
      </c>
      <c r="F9" s="9" t="s">
        <v>528</v>
      </c>
      <c r="G9" s="9" t="s">
        <v>529</v>
      </c>
      <c r="H9" s="10">
        <v>1</v>
      </c>
      <c r="I9" s="10" t="s">
        <v>316</v>
      </c>
      <c r="J9" s="8"/>
      <c r="K9" s="11">
        <v>11.5</v>
      </c>
      <c r="L9" s="12">
        <v>0.01</v>
      </c>
      <c r="M9" s="11">
        <f t="shared" si="0"/>
        <v>11.5</v>
      </c>
      <c r="N9" s="8" t="s">
        <v>519</v>
      </c>
      <c r="O9" s="8"/>
    </row>
    <row r="10" spans="1:21">
      <c r="A10" s="8">
        <v>8</v>
      </c>
      <c r="B10" s="8"/>
      <c r="C10" s="8"/>
      <c r="D10" s="8"/>
      <c r="E10" s="8" t="s">
        <v>129</v>
      </c>
      <c r="F10" s="9" t="s">
        <v>521</v>
      </c>
      <c r="G10" s="9" t="s">
        <v>530</v>
      </c>
      <c r="H10" s="10">
        <v>1</v>
      </c>
      <c r="I10" s="10" t="s">
        <v>518</v>
      </c>
      <c r="J10" s="8"/>
      <c r="K10" s="11">
        <v>5200</v>
      </c>
      <c r="L10" s="12">
        <v>0.01</v>
      </c>
      <c r="M10" s="11">
        <f t="shared" si="0"/>
        <v>5200</v>
      </c>
      <c r="N10" s="8" t="s">
        <v>519</v>
      </c>
      <c r="O10" s="8"/>
    </row>
    <row r="11" spans="1:21">
      <c r="A11" s="8">
        <v>9</v>
      </c>
      <c r="B11" s="8"/>
      <c r="C11" s="8"/>
      <c r="D11" s="8"/>
      <c r="E11" s="8" t="s">
        <v>129</v>
      </c>
      <c r="F11" s="9" t="s">
        <v>517</v>
      </c>
      <c r="G11" s="9"/>
      <c r="H11" s="10">
        <v>1</v>
      </c>
      <c r="I11" s="10" t="s">
        <v>518</v>
      </c>
      <c r="J11" s="8"/>
      <c r="K11" s="11">
        <v>2485</v>
      </c>
      <c r="L11" s="12">
        <v>0.01</v>
      </c>
      <c r="M11" s="11">
        <f t="shared" si="0"/>
        <v>2485</v>
      </c>
      <c r="N11" s="8" t="s">
        <v>519</v>
      </c>
      <c r="O11" s="8"/>
    </row>
    <row r="12" spans="1:21">
      <c r="A12" s="8">
        <v>10</v>
      </c>
      <c r="B12" s="8"/>
      <c r="C12" s="8"/>
      <c r="D12" s="8"/>
      <c r="E12" s="8" t="s">
        <v>129</v>
      </c>
      <c r="F12" s="9" t="s">
        <v>531</v>
      </c>
      <c r="G12" s="9" t="s">
        <v>532</v>
      </c>
      <c r="H12" s="10">
        <v>1</v>
      </c>
      <c r="I12" s="10" t="s">
        <v>533</v>
      </c>
      <c r="J12" s="8"/>
      <c r="K12" s="11">
        <v>7</v>
      </c>
      <c r="L12" s="12">
        <v>0.01</v>
      </c>
      <c r="M12" s="11">
        <f t="shared" si="0"/>
        <v>7</v>
      </c>
      <c r="N12" s="8" t="s">
        <v>519</v>
      </c>
      <c r="O12" s="8"/>
    </row>
    <row r="13" spans="1:21">
      <c r="A13" s="8">
        <v>11</v>
      </c>
      <c r="B13" s="8"/>
      <c r="C13" s="8"/>
      <c r="D13" s="8"/>
      <c r="E13" s="8" t="s">
        <v>129</v>
      </c>
      <c r="F13" s="9" t="s">
        <v>534</v>
      </c>
      <c r="G13" s="9" t="s">
        <v>535</v>
      </c>
      <c r="H13" s="10">
        <v>20</v>
      </c>
      <c r="I13" s="10" t="s">
        <v>536</v>
      </c>
      <c r="J13" s="8"/>
      <c r="K13" s="11">
        <v>7.8</v>
      </c>
      <c r="L13" s="12">
        <v>0.01</v>
      </c>
      <c r="M13" s="11">
        <f t="shared" si="0"/>
        <v>156</v>
      </c>
      <c r="N13" s="8" t="s">
        <v>519</v>
      </c>
      <c r="O13" s="8"/>
    </row>
    <row r="14" spans="1:21">
      <c r="A14" s="8">
        <v>12</v>
      </c>
      <c r="B14" s="8"/>
      <c r="C14" s="8"/>
      <c r="D14" s="8"/>
      <c r="E14" s="8" t="s">
        <v>129</v>
      </c>
      <c r="F14" s="9" t="s">
        <v>537</v>
      </c>
      <c r="G14" s="9"/>
      <c r="H14" s="10">
        <v>15</v>
      </c>
      <c r="I14" s="10" t="s">
        <v>109</v>
      </c>
      <c r="J14" s="8"/>
      <c r="K14" s="11">
        <v>45.5</v>
      </c>
      <c r="L14" s="12">
        <v>0.01</v>
      </c>
      <c r="M14" s="11">
        <f t="shared" si="0"/>
        <v>682.5</v>
      </c>
      <c r="N14" s="8" t="s">
        <v>519</v>
      </c>
      <c r="O14" s="8"/>
    </row>
    <row r="15" spans="1:21">
      <c r="A15" s="8">
        <v>13</v>
      </c>
      <c r="B15" s="8"/>
      <c r="C15" s="8"/>
      <c r="D15" s="8"/>
      <c r="E15" s="8" t="s">
        <v>129</v>
      </c>
      <c r="F15" s="9" t="s">
        <v>538</v>
      </c>
      <c r="G15" s="9"/>
      <c r="H15" s="10">
        <v>1</v>
      </c>
      <c r="I15" s="10" t="s">
        <v>109</v>
      </c>
      <c r="J15" s="8"/>
      <c r="K15" s="11">
        <v>173</v>
      </c>
      <c r="L15" s="12">
        <v>0.01</v>
      </c>
      <c r="M15" s="11">
        <f t="shared" si="0"/>
        <v>173</v>
      </c>
      <c r="N15" s="8" t="s">
        <v>519</v>
      </c>
      <c r="O15" s="8"/>
    </row>
    <row r="16" spans="1:21">
      <c r="A16" s="8">
        <v>14</v>
      </c>
      <c r="B16" s="8"/>
      <c r="C16" s="8"/>
      <c r="D16" s="8"/>
      <c r="E16" s="8" t="s">
        <v>129</v>
      </c>
      <c r="F16" s="9" t="s">
        <v>539</v>
      </c>
      <c r="G16" s="9" t="s">
        <v>540</v>
      </c>
      <c r="H16" s="10">
        <v>1</v>
      </c>
      <c r="I16" s="10" t="s">
        <v>109</v>
      </c>
      <c r="J16" s="8"/>
      <c r="K16" s="11">
        <v>628</v>
      </c>
      <c r="L16" s="12">
        <v>0.01</v>
      </c>
      <c r="M16" s="11">
        <f t="shared" si="0"/>
        <v>628</v>
      </c>
      <c r="N16" s="8" t="s">
        <v>519</v>
      </c>
      <c r="O16" s="8"/>
    </row>
    <row r="17" spans="1:15">
      <c r="A17" s="8">
        <v>15</v>
      </c>
      <c r="B17" s="8"/>
      <c r="C17" s="8"/>
      <c r="D17" s="8"/>
      <c r="E17" s="8" t="s">
        <v>129</v>
      </c>
      <c r="F17" s="9" t="s">
        <v>541</v>
      </c>
      <c r="G17" s="9"/>
      <c r="H17" s="10">
        <v>5</v>
      </c>
      <c r="I17" s="10" t="s">
        <v>109</v>
      </c>
      <c r="J17" s="8"/>
      <c r="K17" s="11">
        <v>6.5</v>
      </c>
      <c r="L17" s="12">
        <v>0.01</v>
      </c>
      <c r="M17" s="11">
        <f t="shared" si="0"/>
        <v>32.5</v>
      </c>
      <c r="N17" s="8" t="s">
        <v>519</v>
      </c>
      <c r="O17" s="8"/>
    </row>
    <row r="18" spans="1:15">
      <c r="A18" s="8">
        <v>16</v>
      </c>
      <c r="B18" s="8"/>
      <c r="C18" s="8"/>
      <c r="D18" s="8"/>
      <c r="E18" s="8" t="s">
        <v>129</v>
      </c>
      <c r="F18" s="9" t="s">
        <v>542</v>
      </c>
      <c r="G18" s="9" t="s">
        <v>543</v>
      </c>
      <c r="H18" s="10">
        <v>1</v>
      </c>
      <c r="I18" s="10" t="s">
        <v>457</v>
      </c>
      <c r="J18" s="8"/>
      <c r="K18" s="11">
        <v>35.8</v>
      </c>
      <c r="L18" s="12">
        <v>0.01</v>
      </c>
      <c r="M18" s="11">
        <f t="shared" si="0"/>
        <v>35.8</v>
      </c>
      <c r="N18" s="8" t="s">
        <v>519</v>
      </c>
      <c r="O18" s="8"/>
    </row>
    <row r="19" spans="1:15">
      <c r="A19" s="8">
        <v>17</v>
      </c>
      <c r="B19" s="8"/>
      <c r="C19" s="8"/>
      <c r="D19" s="8"/>
      <c r="E19" s="8" t="s">
        <v>129</v>
      </c>
      <c r="F19" s="9" t="s">
        <v>544</v>
      </c>
      <c r="G19" s="9" t="s">
        <v>545</v>
      </c>
      <c r="H19" s="10">
        <v>1</v>
      </c>
      <c r="I19" s="10" t="s">
        <v>457</v>
      </c>
      <c r="J19" s="8"/>
      <c r="K19" s="11">
        <v>6.1</v>
      </c>
      <c r="L19" s="12">
        <v>0.01</v>
      </c>
      <c r="M19" s="11">
        <f t="shared" si="0"/>
        <v>6.1</v>
      </c>
      <c r="N19" s="8" t="s">
        <v>519</v>
      </c>
      <c r="O19" s="8"/>
    </row>
    <row r="20" spans="1:15">
      <c r="A20" s="8">
        <v>18</v>
      </c>
      <c r="B20" s="8"/>
      <c r="C20" s="8"/>
      <c r="D20" s="8"/>
      <c r="E20" s="8" t="s">
        <v>129</v>
      </c>
      <c r="F20" s="9" t="s">
        <v>546</v>
      </c>
      <c r="G20" s="9" t="s">
        <v>547</v>
      </c>
      <c r="H20" s="10">
        <v>10</v>
      </c>
      <c r="I20" s="10" t="s">
        <v>109</v>
      </c>
      <c r="J20" s="8"/>
      <c r="K20" s="11">
        <v>81</v>
      </c>
      <c r="L20" s="12">
        <v>0.01</v>
      </c>
      <c r="M20" s="11">
        <f t="shared" si="0"/>
        <v>810</v>
      </c>
      <c r="N20" s="8" t="s">
        <v>519</v>
      </c>
      <c r="O20" s="8"/>
    </row>
    <row r="21" spans="1:15">
      <c r="A21" s="8">
        <v>19</v>
      </c>
      <c r="B21" s="8"/>
      <c r="C21" s="8"/>
      <c r="D21" s="8"/>
      <c r="E21" s="8" t="s">
        <v>129</v>
      </c>
      <c r="F21" s="9" t="s">
        <v>548</v>
      </c>
      <c r="G21" s="9" t="s">
        <v>549</v>
      </c>
      <c r="H21" s="10">
        <v>3</v>
      </c>
      <c r="I21" s="10" t="s">
        <v>109</v>
      </c>
      <c r="J21" s="8"/>
      <c r="K21" s="11">
        <v>21.5</v>
      </c>
      <c r="L21" s="12">
        <v>0.01</v>
      </c>
      <c r="M21" s="11">
        <f t="shared" si="0"/>
        <v>64.5</v>
      </c>
      <c r="N21" s="8" t="s">
        <v>519</v>
      </c>
      <c r="O21" s="8"/>
    </row>
    <row r="22" spans="1:15">
      <c r="A22" s="8">
        <v>20</v>
      </c>
      <c r="B22" s="8"/>
      <c r="C22" s="8"/>
      <c r="D22" s="8"/>
      <c r="E22" s="8" t="s">
        <v>129</v>
      </c>
      <c r="F22" s="9" t="s">
        <v>550</v>
      </c>
      <c r="G22" s="9" t="s">
        <v>551</v>
      </c>
      <c r="H22" s="10">
        <v>20</v>
      </c>
      <c r="I22" s="10" t="s">
        <v>552</v>
      </c>
      <c r="J22" s="8"/>
      <c r="K22" s="11">
        <v>7</v>
      </c>
      <c r="L22" s="12">
        <v>0.01</v>
      </c>
      <c r="M22" s="11">
        <f t="shared" si="0"/>
        <v>140</v>
      </c>
      <c r="N22" s="8" t="s">
        <v>519</v>
      </c>
      <c r="O22" s="8"/>
    </row>
    <row r="23" spans="1:15">
      <c r="A23" s="8">
        <v>21</v>
      </c>
      <c r="B23" s="8"/>
      <c r="C23" s="8"/>
      <c r="D23" s="8"/>
      <c r="E23" s="8" t="s">
        <v>129</v>
      </c>
      <c r="F23" s="9" t="s">
        <v>553</v>
      </c>
      <c r="G23" s="9" t="s">
        <v>554</v>
      </c>
      <c r="H23" s="10">
        <v>2</v>
      </c>
      <c r="I23" s="10" t="s">
        <v>316</v>
      </c>
      <c r="J23" s="8"/>
      <c r="K23" s="11">
        <v>9.4</v>
      </c>
      <c r="L23" s="12">
        <v>0.01</v>
      </c>
      <c r="M23" s="11">
        <f t="shared" si="0"/>
        <v>18.8</v>
      </c>
      <c r="N23" s="8" t="s">
        <v>519</v>
      </c>
      <c r="O23" s="8"/>
    </row>
    <row r="24" spans="1:15">
      <c r="A24" s="8">
        <v>22</v>
      </c>
      <c r="B24" s="8"/>
      <c r="C24" s="8"/>
      <c r="D24" s="8"/>
      <c r="E24" s="8" t="s">
        <v>129</v>
      </c>
      <c r="F24" s="9" t="s">
        <v>555</v>
      </c>
      <c r="G24" s="9" t="s">
        <v>556</v>
      </c>
      <c r="H24" s="10">
        <v>1</v>
      </c>
      <c r="I24" s="10" t="s">
        <v>241</v>
      </c>
      <c r="J24" s="8"/>
      <c r="K24" s="11">
        <v>14.5</v>
      </c>
      <c r="L24" s="12">
        <v>0.01</v>
      </c>
      <c r="M24" s="11">
        <f t="shared" si="0"/>
        <v>14.5</v>
      </c>
      <c r="N24" s="8" t="s">
        <v>519</v>
      </c>
      <c r="O24" s="8"/>
    </row>
    <row r="25" spans="1:15">
      <c r="A25" s="8">
        <v>23</v>
      </c>
      <c r="B25" s="8"/>
      <c r="C25" s="8"/>
      <c r="D25" s="8"/>
      <c r="E25" s="8" t="s">
        <v>129</v>
      </c>
      <c r="F25" s="9" t="s">
        <v>557</v>
      </c>
      <c r="G25" s="9" t="s">
        <v>558</v>
      </c>
      <c r="H25" s="10">
        <v>2</v>
      </c>
      <c r="I25" s="10" t="s">
        <v>109</v>
      </c>
      <c r="J25" s="8"/>
      <c r="K25" s="11">
        <v>22.6</v>
      </c>
      <c r="L25" s="12">
        <v>0.01</v>
      </c>
      <c r="M25" s="11">
        <f t="shared" si="0"/>
        <v>45.2</v>
      </c>
      <c r="N25" s="8" t="s">
        <v>519</v>
      </c>
      <c r="O25" s="8"/>
    </row>
    <row r="26" spans="1:15">
      <c r="A26" s="8">
        <v>24</v>
      </c>
      <c r="B26" s="8"/>
      <c r="C26" s="8"/>
      <c r="D26" s="8"/>
      <c r="E26" s="8" t="s">
        <v>129</v>
      </c>
      <c r="F26" s="9" t="s">
        <v>559</v>
      </c>
      <c r="G26" s="9" t="s">
        <v>560</v>
      </c>
      <c r="H26" s="10">
        <v>1</v>
      </c>
      <c r="I26" s="10" t="s">
        <v>518</v>
      </c>
      <c r="J26" s="8"/>
      <c r="K26" s="11">
        <v>280</v>
      </c>
      <c r="L26" s="12">
        <v>0.01</v>
      </c>
      <c r="M26" s="11">
        <f t="shared" si="0"/>
        <v>280</v>
      </c>
      <c r="N26" s="8" t="s">
        <v>519</v>
      </c>
      <c r="O26" s="8"/>
    </row>
    <row r="27" spans="1:15">
      <c r="A27" s="8">
        <v>25</v>
      </c>
      <c r="B27" s="8"/>
      <c r="C27" s="8"/>
      <c r="D27" s="8"/>
      <c r="E27" s="8" t="s">
        <v>129</v>
      </c>
      <c r="F27" s="9" t="s">
        <v>561</v>
      </c>
      <c r="G27" s="9" t="s">
        <v>562</v>
      </c>
      <c r="H27" s="10">
        <v>4</v>
      </c>
      <c r="I27" s="10" t="s">
        <v>316</v>
      </c>
      <c r="J27" s="8"/>
      <c r="K27" s="11">
        <v>11</v>
      </c>
      <c r="L27" s="12">
        <v>0.01</v>
      </c>
      <c r="M27" s="11">
        <f t="shared" si="0"/>
        <v>44</v>
      </c>
      <c r="N27" s="8" t="s">
        <v>519</v>
      </c>
      <c r="O27" s="8"/>
    </row>
    <row r="28" spans="1:15">
      <c r="A28" s="8">
        <v>26</v>
      </c>
      <c r="B28" s="8"/>
      <c r="C28" s="8"/>
      <c r="D28" s="8"/>
      <c r="E28" s="8" t="s">
        <v>129</v>
      </c>
      <c r="F28" s="9" t="s">
        <v>563</v>
      </c>
      <c r="G28" s="9" t="s">
        <v>564</v>
      </c>
      <c r="H28" s="10">
        <v>2</v>
      </c>
      <c r="I28" s="10" t="s">
        <v>109</v>
      </c>
      <c r="J28" s="8"/>
      <c r="K28" s="11">
        <v>29</v>
      </c>
      <c r="L28" s="12">
        <v>0.01</v>
      </c>
      <c r="M28" s="11">
        <f t="shared" si="0"/>
        <v>58</v>
      </c>
      <c r="N28" s="8" t="s">
        <v>519</v>
      </c>
      <c r="O28" s="8"/>
    </row>
    <row r="29" spans="1:15">
      <c r="A29" s="8">
        <v>27</v>
      </c>
      <c r="B29" s="8"/>
      <c r="C29" s="8"/>
      <c r="D29" s="8"/>
      <c r="E29" s="8" t="s">
        <v>129</v>
      </c>
      <c r="F29" s="9" t="s">
        <v>565</v>
      </c>
      <c r="G29" s="9" t="s">
        <v>566</v>
      </c>
      <c r="H29" s="10">
        <v>10</v>
      </c>
      <c r="I29" s="10" t="s">
        <v>527</v>
      </c>
      <c r="J29" s="8"/>
      <c r="K29" s="11">
        <v>1</v>
      </c>
      <c r="L29" s="12">
        <v>0.01</v>
      </c>
      <c r="M29" s="11">
        <f t="shared" si="0"/>
        <v>10</v>
      </c>
      <c r="N29" s="8" t="s">
        <v>519</v>
      </c>
      <c r="O29" s="8"/>
    </row>
    <row r="30" ht="15" spans="1:15">
      <c r="A30" s="8">
        <v>28</v>
      </c>
      <c r="B30" s="8"/>
      <c r="C30" s="8"/>
      <c r="D30" s="8"/>
      <c r="E30" s="8" t="s">
        <v>129</v>
      </c>
      <c r="F30" s="13" t="s">
        <v>567</v>
      </c>
      <c r="G30" s="14"/>
      <c r="H30" s="15">
        <v>1</v>
      </c>
      <c r="I30" s="8" t="s">
        <v>109</v>
      </c>
      <c r="J30" s="8"/>
      <c r="K30" s="16">
        <v>30</v>
      </c>
      <c r="L30" s="12">
        <v>0.01</v>
      </c>
      <c r="M30" s="11">
        <f t="shared" si="0"/>
        <v>30</v>
      </c>
      <c r="N30" s="8" t="s">
        <v>519</v>
      </c>
      <c r="O30" s="8"/>
    </row>
    <row r="31" ht="15" spans="1:15">
      <c r="A31" s="8">
        <v>29</v>
      </c>
      <c r="B31" s="8"/>
      <c r="C31" s="8"/>
      <c r="D31" s="8"/>
      <c r="E31" s="8" t="s">
        <v>129</v>
      </c>
      <c r="F31" s="13" t="s">
        <v>568</v>
      </c>
      <c r="G31" s="14" t="s">
        <v>569</v>
      </c>
      <c r="H31" s="15">
        <v>2</v>
      </c>
      <c r="I31" s="8" t="s">
        <v>570</v>
      </c>
      <c r="J31" s="8"/>
      <c r="K31" s="16">
        <v>99</v>
      </c>
      <c r="L31" s="12">
        <v>0.01</v>
      </c>
      <c r="M31" s="11">
        <f t="shared" si="0"/>
        <v>198</v>
      </c>
      <c r="N31" s="8" t="s">
        <v>519</v>
      </c>
      <c r="O31" s="8"/>
    </row>
    <row r="32" ht="15" spans="1:15">
      <c r="A32" s="8">
        <v>30</v>
      </c>
      <c r="B32" s="8"/>
      <c r="C32" s="8"/>
      <c r="D32" s="8"/>
      <c r="E32" s="8" t="s">
        <v>129</v>
      </c>
      <c r="F32" s="13" t="s">
        <v>571</v>
      </c>
      <c r="G32" s="14" t="s">
        <v>572</v>
      </c>
      <c r="H32" s="15">
        <v>1</v>
      </c>
      <c r="I32" s="8" t="s">
        <v>518</v>
      </c>
      <c r="J32" s="8"/>
      <c r="K32" s="16">
        <v>5742.5</v>
      </c>
      <c r="L32" s="12">
        <v>0.01</v>
      </c>
      <c r="M32" s="11">
        <f t="shared" si="0"/>
        <v>5742.5</v>
      </c>
      <c r="N32" s="8" t="s">
        <v>519</v>
      </c>
      <c r="O32" s="8"/>
    </row>
    <row r="33" ht="15.75" customHeight="1" spans="1:15">
      <c r="A33" s="8">
        <v>31</v>
      </c>
      <c r="B33" s="8"/>
      <c r="C33" s="8"/>
      <c r="D33" s="8"/>
      <c r="E33" s="8" t="s">
        <v>129</v>
      </c>
      <c r="F33" s="14" t="s">
        <v>573</v>
      </c>
      <c r="G33" s="14" t="s">
        <v>574</v>
      </c>
      <c r="H33" s="15">
        <v>1</v>
      </c>
      <c r="I33" s="8" t="s">
        <v>518</v>
      </c>
      <c r="J33" s="8"/>
      <c r="K33" s="16">
        <v>136.5</v>
      </c>
      <c r="L33" s="12">
        <v>0.01</v>
      </c>
      <c r="M33" s="11">
        <f t="shared" si="0"/>
        <v>136.5</v>
      </c>
      <c r="N33" s="8" t="s">
        <v>519</v>
      </c>
      <c r="O33" s="8"/>
    </row>
    <row r="34" ht="15" spans="1:15">
      <c r="A34" s="8">
        <v>32</v>
      </c>
      <c r="B34" s="8"/>
      <c r="C34" s="8"/>
      <c r="D34" s="8"/>
      <c r="E34" s="8" t="s">
        <v>129</v>
      </c>
      <c r="F34" s="14" t="s">
        <v>575</v>
      </c>
      <c r="G34" s="14" t="s">
        <v>576</v>
      </c>
      <c r="H34" s="15">
        <v>5</v>
      </c>
      <c r="I34" s="8" t="s">
        <v>252</v>
      </c>
      <c r="J34" s="8"/>
      <c r="K34" s="16">
        <v>34</v>
      </c>
      <c r="L34" s="12">
        <v>0.01</v>
      </c>
      <c r="M34" s="11">
        <f t="shared" si="0"/>
        <v>170</v>
      </c>
      <c r="N34" s="8" t="s">
        <v>519</v>
      </c>
      <c r="O34" s="8"/>
    </row>
    <row r="35" ht="15" spans="1:15">
      <c r="A35" s="8">
        <v>33</v>
      </c>
      <c r="B35" s="8"/>
      <c r="C35" s="8"/>
      <c r="D35" s="8"/>
      <c r="E35" s="8" t="s">
        <v>129</v>
      </c>
      <c r="F35" s="14" t="s">
        <v>577</v>
      </c>
      <c r="G35" s="14" t="s">
        <v>578</v>
      </c>
      <c r="H35" s="15">
        <v>1</v>
      </c>
      <c r="I35" s="8" t="s">
        <v>533</v>
      </c>
      <c r="J35" s="8"/>
      <c r="K35" s="16">
        <v>20</v>
      </c>
      <c r="L35" s="12">
        <v>0.01</v>
      </c>
      <c r="M35" s="11">
        <f t="shared" si="0"/>
        <v>20</v>
      </c>
      <c r="N35" s="8" t="s">
        <v>519</v>
      </c>
      <c r="O35" s="8"/>
    </row>
    <row r="36" ht="15.75" customHeight="1" spans="1:15">
      <c r="A36" s="8">
        <v>34</v>
      </c>
      <c r="B36" s="8"/>
      <c r="C36" s="8"/>
      <c r="D36" s="8"/>
      <c r="E36" s="8" t="s">
        <v>129</v>
      </c>
      <c r="F36" s="14" t="s">
        <v>579</v>
      </c>
      <c r="G36" s="14" t="s">
        <v>580</v>
      </c>
      <c r="H36" s="15">
        <v>1</v>
      </c>
      <c r="I36" s="8" t="s">
        <v>533</v>
      </c>
      <c r="J36" s="8"/>
      <c r="K36" s="16">
        <v>12.7</v>
      </c>
      <c r="L36" s="12">
        <v>0.01</v>
      </c>
      <c r="M36" s="11">
        <f t="shared" si="0"/>
        <v>12.7</v>
      </c>
      <c r="N36" s="8" t="s">
        <v>519</v>
      </c>
      <c r="O36" s="8"/>
    </row>
    <row r="37" ht="15" spans="1:15">
      <c r="A37" s="8">
        <v>35</v>
      </c>
      <c r="B37" s="8"/>
      <c r="C37" s="8"/>
      <c r="D37" s="8"/>
      <c r="E37" s="8" t="s">
        <v>129</v>
      </c>
      <c r="F37" s="14" t="s">
        <v>581</v>
      </c>
      <c r="G37" s="14" t="s">
        <v>582</v>
      </c>
      <c r="H37" s="15">
        <v>100</v>
      </c>
      <c r="I37" s="8" t="s">
        <v>109</v>
      </c>
      <c r="J37" s="8"/>
      <c r="K37" s="16">
        <v>0.2</v>
      </c>
      <c r="L37" s="12">
        <v>0.01</v>
      </c>
      <c r="M37" s="11">
        <f t="shared" si="0"/>
        <v>20</v>
      </c>
      <c r="N37" s="8" t="s">
        <v>519</v>
      </c>
      <c r="O37" s="8"/>
    </row>
    <row r="38" ht="15.75" customHeight="1" spans="1:15">
      <c r="A38" s="8">
        <v>36</v>
      </c>
      <c r="B38" s="8"/>
      <c r="C38" s="8"/>
      <c r="D38" s="8"/>
      <c r="E38" s="8" t="s">
        <v>129</v>
      </c>
      <c r="F38" s="14" t="s">
        <v>548</v>
      </c>
      <c r="G38" s="14" t="s">
        <v>583</v>
      </c>
      <c r="H38" s="15">
        <v>6</v>
      </c>
      <c r="I38" s="8" t="s">
        <v>109</v>
      </c>
      <c r="J38" s="8"/>
      <c r="K38" s="16">
        <v>30</v>
      </c>
      <c r="L38" s="12">
        <v>0.01</v>
      </c>
      <c r="M38" s="11">
        <f t="shared" si="0"/>
        <v>180</v>
      </c>
      <c r="N38" s="8" t="s">
        <v>519</v>
      </c>
      <c r="O38" s="8"/>
    </row>
    <row r="39" ht="15" spans="1:15">
      <c r="A39" s="8">
        <v>37</v>
      </c>
      <c r="B39" s="8"/>
      <c r="C39" s="8"/>
      <c r="D39" s="8"/>
      <c r="E39" s="8" t="s">
        <v>129</v>
      </c>
      <c r="F39" s="14" t="s">
        <v>584</v>
      </c>
      <c r="G39" s="14" t="s">
        <v>585</v>
      </c>
      <c r="H39" s="15">
        <v>6</v>
      </c>
      <c r="I39" s="8" t="s">
        <v>109</v>
      </c>
      <c r="J39" s="8"/>
      <c r="K39" s="16">
        <v>23.8</v>
      </c>
      <c r="L39" s="12">
        <v>0.01</v>
      </c>
      <c r="M39" s="11">
        <f t="shared" si="0"/>
        <v>142.8</v>
      </c>
      <c r="N39" s="8" t="s">
        <v>519</v>
      </c>
      <c r="O39" s="8"/>
    </row>
    <row r="40" ht="15" spans="1:15">
      <c r="A40" s="8">
        <v>38</v>
      </c>
      <c r="B40" s="8"/>
      <c r="C40" s="8"/>
      <c r="D40" s="8"/>
      <c r="E40" s="8" t="s">
        <v>129</v>
      </c>
      <c r="F40" s="14" t="s">
        <v>586</v>
      </c>
      <c r="G40" s="14" t="s">
        <v>587</v>
      </c>
      <c r="H40" s="15">
        <v>18</v>
      </c>
      <c r="I40" s="8" t="s">
        <v>109</v>
      </c>
      <c r="J40" s="8"/>
      <c r="K40" s="16">
        <v>7.8</v>
      </c>
      <c r="L40" s="12">
        <v>0.01</v>
      </c>
      <c r="M40" s="11">
        <f t="shared" si="0"/>
        <v>140.4</v>
      </c>
      <c r="N40" s="8" t="s">
        <v>519</v>
      </c>
      <c r="O40" s="8"/>
    </row>
    <row r="41" ht="15" spans="1:15">
      <c r="A41" s="8">
        <v>39</v>
      </c>
      <c r="B41" s="8"/>
      <c r="C41" s="8"/>
      <c r="D41" s="8"/>
      <c r="E41" s="8" t="s">
        <v>129</v>
      </c>
      <c r="F41" s="14" t="s">
        <v>588</v>
      </c>
      <c r="G41" s="14" t="s">
        <v>589</v>
      </c>
      <c r="H41" s="15">
        <v>6</v>
      </c>
      <c r="I41" s="8" t="s">
        <v>109</v>
      </c>
      <c r="J41" s="8"/>
      <c r="K41" s="16">
        <v>3.5</v>
      </c>
      <c r="L41" s="12">
        <v>0.01</v>
      </c>
      <c r="M41" s="11">
        <f t="shared" si="0"/>
        <v>21</v>
      </c>
      <c r="N41" s="8" t="s">
        <v>519</v>
      </c>
      <c r="O41" s="8"/>
    </row>
    <row r="42" ht="15.75" customHeight="1" spans="1:15">
      <c r="A42" s="8">
        <v>40</v>
      </c>
      <c r="B42" s="8"/>
      <c r="C42" s="8"/>
      <c r="D42" s="8"/>
      <c r="E42" s="8" t="s">
        <v>129</v>
      </c>
      <c r="F42" s="14" t="s">
        <v>590</v>
      </c>
      <c r="G42" s="14" t="s">
        <v>591</v>
      </c>
      <c r="H42" s="15">
        <v>10</v>
      </c>
      <c r="I42" s="8" t="s">
        <v>109</v>
      </c>
      <c r="J42" s="8"/>
      <c r="K42" s="16">
        <v>35</v>
      </c>
      <c r="L42" s="12">
        <v>0.01</v>
      </c>
      <c r="M42" s="11">
        <f t="shared" si="0"/>
        <v>350</v>
      </c>
      <c r="N42" s="8" t="s">
        <v>519</v>
      </c>
      <c r="O42" s="8"/>
    </row>
    <row r="43" ht="15.75" customHeight="1" spans="1:15">
      <c r="A43" s="8">
        <v>41</v>
      </c>
      <c r="B43" s="8"/>
      <c r="C43" s="8"/>
      <c r="D43" s="8"/>
      <c r="E43" s="8" t="s">
        <v>129</v>
      </c>
      <c r="F43" s="14" t="s">
        <v>592</v>
      </c>
      <c r="G43" s="14" t="s">
        <v>593</v>
      </c>
      <c r="H43" s="15">
        <v>3</v>
      </c>
      <c r="I43" s="8" t="s">
        <v>109</v>
      </c>
      <c r="J43" s="8"/>
      <c r="K43" s="16">
        <v>35.8</v>
      </c>
      <c r="L43" s="12">
        <v>0.01</v>
      </c>
      <c r="M43" s="11">
        <f t="shared" si="0"/>
        <v>107.4</v>
      </c>
      <c r="N43" s="8" t="s">
        <v>519</v>
      </c>
      <c r="O43" s="8"/>
    </row>
    <row r="44" ht="15" spans="1:15">
      <c r="A44" s="8">
        <v>42</v>
      </c>
      <c r="B44" s="8"/>
      <c r="C44" s="8"/>
      <c r="D44" s="8"/>
      <c r="E44" s="8" t="s">
        <v>129</v>
      </c>
      <c r="F44" s="14" t="s">
        <v>594</v>
      </c>
      <c r="G44" s="14" t="s">
        <v>595</v>
      </c>
      <c r="H44" s="15">
        <v>2</v>
      </c>
      <c r="I44" s="8" t="s">
        <v>109</v>
      </c>
      <c r="J44" s="8"/>
      <c r="K44" s="16">
        <v>582</v>
      </c>
      <c r="L44" s="12">
        <v>0.01</v>
      </c>
      <c r="M44" s="11">
        <f t="shared" si="0"/>
        <v>1164</v>
      </c>
      <c r="N44" s="8" t="s">
        <v>519</v>
      </c>
      <c r="O44" s="8"/>
    </row>
    <row r="45" ht="15.75" customHeight="1" spans="1:15">
      <c r="A45" s="8">
        <v>43</v>
      </c>
      <c r="B45" s="8"/>
      <c r="C45" s="8"/>
      <c r="D45" s="8"/>
      <c r="E45" s="8" t="s">
        <v>129</v>
      </c>
      <c r="F45" s="14" t="s">
        <v>596</v>
      </c>
      <c r="G45" s="14" t="s">
        <v>597</v>
      </c>
      <c r="H45" s="15">
        <v>2</v>
      </c>
      <c r="I45" s="8" t="s">
        <v>109</v>
      </c>
      <c r="J45" s="8"/>
      <c r="K45" s="16">
        <v>32</v>
      </c>
      <c r="L45" s="12">
        <v>0.01</v>
      </c>
      <c r="M45" s="11">
        <f t="shared" si="0"/>
        <v>64</v>
      </c>
      <c r="N45" s="8" t="s">
        <v>519</v>
      </c>
      <c r="O45" s="8"/>
    </row>
    <row r="46" ht="15" spans="1:15">
      <c r="A46" s="8">
        <v>44</v>
      </c>
      <c r="B46" s="8"/>
      <c r="C46" s="8"/>
      <c r="D46" s="8"/>
      <c r="E46" s="8" t="s">
        <v>129</v>
      </c>
      <c r="F46" s="14" t="s">
        <v>598</v>
      </c>
      <c r="G46" s="14" t="s">
        <v>599</v>
      </c>
      <c r="H46" s="15">
        <v>20</v>
      </c>
      <c r="I46" s="8" t="s">
        <v>109</v>
      </c>
      <c r="J46" s="8"/>
      <c r="K46" s="16">
        <v>0.6</v>
      </c>
      <c r="L46" s="12">
        <v>0.01</v>
      </c>
      <c r="M46" s="11">
        <f t="shared" si="0"/>
        <v>12</v>
      </c>
      <c r="N46" s="8" t="s">
        <v>519</v>
      </c>
      <c r="O46" s="8"/>
    </row>
    <row r="47" ht="15.75" customHeight="1" spans="1:15">
      <c r="A47" s="8">
        <v>45</v>
      </c>
      <c r="B47" s="8"/>
      <c r="C47" s="8"/>
      <c r="D47" s="8"/>
      <c r="E47" s="8" t="s">
        <v>129</v>
      </c>
      <c r="F47" s="14" t="s">
        <v>600</v>
      </c>
      <c r="G47" s="14" t="s">
        <v>601</v>
      </c>
      <c r="H47" s="15">
        <v>30</v>
      </c>
      <c r="I47" s="8" t="s">
        <v>109</v>
      </c>
      <c r="J47" s="8"/>
      <c r="K47" s="16">
        <v>1.8</v>
      </c>
      <c r="L47" s="12">
        <v>0.01</v>
      </c>
      <c r="M47" s="11">
        <f t="shared" si="0"/>
        <v>54</v>
      </c>
      <c r="N47" s="8" t="s">
        <v>519</v>
      </c>
      <c r="O47" s="8"/>
    </row>
    <row r="48" ht="15" spans="1:15">
      <c r="A48" s="8">
        <v>46</v>
      </c>
      <c r="B48" s="8"/>
      <c r="C48" s="8"/>
      <c r="D48" s="8"/>
      <c r="E48" s="8" t="s">
        <v>129</v>
      </c>
      <c r="F48" s="14" t="s">
        <v>602</v>
      </c>
      <c r="G48" s="14" t="s">
        <v>603</v>
      </c>
      <c r="H48" s="15">
        <v>3</v>
      </c>
      <c r="I48" s="8" t="s">
        <v>604</v>
      </c>
      <c r="J48" s="8"/>
      <c r="K48" s="16">
        <v>13.5</v>
      </c>
      <c r="L48" s="12">
        <v>0.01</v>
      </c>
      <c r="M48" s="11">
        <f t="shared" si="0"/>
        <v>40.5</v>
      </c>
      <c r="N48" s="8" t="s">
        <v>519</v>
      </c>
      <c r="O48" s="8"/>
    </row>
    <row r="49" ht="15.75" customHeight="1" spans="1:15">
      <c r="A49" s="8">
        <v>47</v>
      </c>
      <c r="B49" s="8"/>
      <c r="C49" s="8"/>
      <c r="D49" s="8"/>
      <c r="E49" s="8" t="s">
        <v>129</v>
      </c>
      <c r="F49" s="17" t="s">
        <v>605</v>
      </c>
      <c r="G49" s="14" t="s">
        <v>606</v>
      </c>
      <c r="H49" s="15">
        <v>100</v>
      </c>
      <c r="I49" s="8" t="s">
        <v>607</v>
      </c>
      <c r="J49" s="8"/>
      <c r="K49" s="16">
        <v>1.6</v>
      </c>
      <c r="L49" s="12">
        <v>0.01</v>
      </c>
      <c r="M49" s="11">
        <f t="shared" si="0"/>
        <v>160</v>
      </c>
      <c r="N49" s="8" t="s">
        <v>519</v>
      </c>
      <c r="O49" s="8"/>
    </row>
    <row r="50" ht="15.75" customHeight="1" spans="1:15">
      <c r="A50" s="8">
        <v>48</v>
      </c>
      <c r="B50" s="8"/>
      <c r="C50" s="8"/>
      <c r="D50" s="8"/>
      <c r="E50" s="8" t="s">
        <v>129</v>
      </c>
      <c r="F50" s="18"/>
      <c r="G50" s="14" t="s">
        <v>608</v>
      </c>
      <c r="H50" s="15">
        <v>100</v>
      </c>
      <c r="I50" s="8" t="s">
        <v>607</v>
      </c>
      <c r="J50" s="8"/>
      <c r="K50" s="16">
        <v>1.98</v>
      </c>
      <c r="L50" s="12">
        <v>0.01</v>
      </c>
      <c r="M50" s="11">
        <f t="shared" si="0"/>
        <v>198</v>
      </c>
      <c r="N50" s="8" t="s">
        <v>519</v>
      </c>
      <c r="O50" s="8"/>
    </row>
    <row r="51" ht="15" spans="1:15">
      <c r="A51" s="8">
        <v>49</v>
      </c>
      <c r="B51" s="8"/>
      <c r="C51" s="8"/>
      <c r="D51" s="8"/>
      <c r="E51" s="8" t="s">
        <v>129</v>
      </c>
      <c r="F51" s="14" t="s">
        <v>517</v>
      </c>
      <c r="G51" s="14"/>
      <c r="H51" s="15">
        <v>1</v>
      </c>
      <c r="I51" s="8" t="s">
        <v>518</v>
      </c>
      <c r="J51" s="8"/>
      <c r="K51" s="16">
        <v>4225</v>
      </c>
      <c r="L51" s="12">
        <v>0.01</v>
      </c>
      <c r="M51" s="11">
        <f t="shared" si="0"/>
        <v>4225</v>
      </c>
      <c r="N51" s="8" t="s">
        <v>519</v>
      </c>
      <c r="O51" s="8"/>
    </row>
    <row r="52" ht="15.75" customHeight="1" spans="1:15">
      <c r="A52" s="8">
        <v>50</v>
      </c>
      <c r="B52" s="8"/>
      <c r="C52" s="8"/>
      <c r="D52" s="8"/>
      <c r="E52" s="8" t="s">
        <v>129</v>
      </c>
      <c r="F52" s="14" t="s">
        <v>609</v>
      </c>
      <c r="G52" s="14" t="s">
        <v>610</v>
      </c>
      <c r="H52" s="15">
        <v>2</v>
      </c>
      <c r="I52" s="8" t="s">
        <v>533</v>
      </c>
      <c r="J52" s="8"/>
      <c r="K52" s="16">
        <v>99</v>
      </c>
      <c r="L52" s="12">
        <v>0.01</v>
      </c>
      <c r="M52" s="11">
        <f t="shared" si="0"/>
        <v>198</v>
      </c>
      <c r="N52" s="8" t="s">
        <v>519</v>
      </c>
      <c r="O52" s="8"/>
    </row>
    <row r="53" ht="15" spans="1:15">
      <c r="A53" s="8">
        <v>51</v>
      </c>
      <c r="B53" s="8"/>
      <c r="C53" s="8"/>
      <c r="D53" s="8"/>
      <c r="E53" s="8" t="s">
        <v>129</v>
      </c>
      <c r="F53" s="14" t="s">
        <v>611</v>
      </c>
      <c r="G53" s="14" t="s">
        <v>612</v>
      </c>
      <c r="H53" s="15">
        <v>5</v>
      </c>
      <c r="I53" s="8" t="s">
        <v>109</v>
      </c>
      <c r="J53" s="8"/>
      <c r="K53" s="16">
        <v>75</v>
      </c>
      <c r="L53" s="12">
        <v>0.01</v>
      </c>
      <c r="M53" s="11">
        <f t="shared" si="0"/>
        <v>375</v>
      </c>
      <c r="N53" s="8" t="s">
        <v>519</v>
      </c>
      <c r="O53" s="8"/>
    </row>
    <row r="54" ht="15" spans="1:15">
      <c r="A54" s="8">
        <v>52</v>
      </c>
      <c r="B54" s="8"/>
      <c r="C54" s="8"/>
      <c r="D54" s="8"/>
      <c r="E54" s="8" t="s">
        <v>129</v>
      </c>
      <c r="F54" s="14" t="s">
        <v>613</v>
      </c>
      <c r="G54" s="14" t="s">
        <v>614</v>
      </c>
      <c r="H54" s="15">
        <v>1</v>
      </c>
      <c r="I54" s="8" t="s">
        <v>109</v>
      </c>
      <c r="J54" s="8"/>
      <c r="K54" s="16">
        <v>285</v>
      </c>
      <c r="L54" s="12">
        <v>0.01</v>
      </c>
      <c r="M54" s="11">
        <f t="shared" si="0"/>
        <v>285</v>
      </c>
      <c r="N54" s="8" t="s">
        <v>519</v>
      </c>
      <c r="O54" s="8"/>
    </row>
    <row r="55" ht="15" spans="1:15">
      <c r="A55" s="8">
        <v>53</v>
      </c>
      <c r="B55" s="8"/>
      <c r="C55" s="8"/>
      <c r="D55" s="8"/>
      <c r="E55" s="8" t="s">
        <v>129</v>
      </c>
      <c r="F55" s="14" t="s">
        <v>615</v>
      </c>
      <c r="G55" s="14" t="s">
        <v>616</v>
      </c>
      <c r="H55" s="15">
        <v>1</v>
      </c>
      <c r="I55" s="8" t="s">
        <v>533</v>
      </c>
      <c r="J55" s="8"/>
      <c r="K55" s="16">
        <v>34</v>
      </c>
      <c r="L55" s="12">
        <v>0.01</v>
      </c>
      <c r="M55" s="11">
        <f t="shared" si="0"/>
        <v>34</v>
      </c>
      <c r="N55" s="8" t="s">
        <v>519</v>
      </c>
      <c r="O55" s="8"/>
    </row>
    <row r="56" ht="15.75" customHeight="1" spans="1:15">
      <c r="A56" s="8">
        <v>54</v>
      </c>
      <c r="B56" s="8"/>
      <c r="C56" s="8"/>
      <c r="D56" s="8"/>
      <c r="E56" s="8" t="s">
        <v>129</v>
      </c>
      <c r="F56" s="14" t="s">
        <v>617</v>
      </c>
      <c r="G56" s="14" t="s">
        <v>618</v>
      </c>
      <c r="H56" s="15">
        <v>1</v>
      </c>
      <c r="I56" s="8" t="s">
        <v>109</v>
      </c>
      <c r="J56" s="8"/>
      <c r="K56" s="16">
        <v>20</v>
      </c>
      <c r="L56" s="12">
        <v>0.01</v>
      </c>
      <c r="M56" s="11">
        <f t="shared" si="0"/>
        <v>20</v>
      </c>
      <c r="N56" s="8" t="s">
        <v>519</v>
      </c>
      <c r="O56" s="8"/>
    </row>
    <row r="57" ht="15.75" customHeight="1" spans="1:15">
      <c r="A57" s="8">
        <v>55</v>
      </c>
      <c r="B57" s="8"/>
      <c r="C57" s="8"/>
      <c r="D57" s="8"/>
      <c r="E57" s="8" t="s">
        <v>129</v>
      </c>
      <c r="F57" s="14" t="s">
        <v>617</v>
      </c>
      <c r="G57" s="14" t="s">
        <v>619</v>
      </c>
      <c r="H57" s="15">
        <v>1</v>
      </c>
      <c r="I57" s="8" t="s">
        <v>109</v>
      </c>
      <c r="J57" s="8"/>
      <c r="K57" s="16">
        <v>25</v>
      </c>
      <c r="L57" s="12">
        <v>0.01</v>
      </c>
      <c r="M57" s="11">
        <f t="shared" si="0"/>
        <v>25</v>
      </c>
      <c r="N57" s="8" t="s">
        <v>519</v>
      </c>
      <c r="O57" s="8"/>
    </row>
    <row r="58" ht="15" spans="1:15">
      <c r="A58" s="8">
        <v>56</v>
      </c>
      <c r="B58" s="8"/>
      <c r="C58" s="8"/>
      <c r="D58" s="8"/>
      <c r="E58" s="8" t="s">
        <v>129</v>
      </c>
      <c r="F58" s="14" t="s">
        <v>620</v>
      </c>
      <c r="G58" s="14"/>
      <c r="H58" s="15">
        <v>1</v>
      </c>
      <c r="I58" s="8" t="s">
        <v>109</v>
      </c>
      <c r="J58" s="8"/>
      <c r="K58" s="16">
        <v>260</v>
      </c>
      <c r="L58" s="12">
        <v>0.01</v>
      </c>
      <c r="M58" s="11">
        <f t="shared" si="0"/>
        <v>260</v>
      </c>
      <c r="N58" s="8" t="s">
        <v>519</v>
      </c>
      <c r="O58" s="8"/>
    </row>
    <row r="59" ht="15" spans="1:15">
      <c r="A59" s="8">
        <v>57</v>
      </c>
      <c r="B59" s="8"/>
      <c r="C59" s="8"/>
      <c r="D59" s="8"/>
      <c r="E59" s="8" t="s">
        <v>129</v>
      </c>
      <c r="F59" s="14" t="s">
        <v>621</v>
      </c>
      <c r="G59" s="14" t="s">
        <v>622</v>
      </c>
      <c r="H59" s="15">
        <v>1</v>
      </c>
      <c r="I59" s="8" t="s">
        <v>109</v>
      </c>
      <c r="J59" s="8"/>
      <c r="K59" s="16">
        <v>55</v>
      </c>
      <c r="L59" s="12">
        <v>0.01</v>
      </c>
      <c r="M59" s="11">
        <f t="shared" si="0"/>
        <v>55</v>
      </c>
      <c r="N59" s="8" t="s">
        <v>519</v>
      </c>
      <c r="O59" s="8"/>
    </row>
    <row r="60" ht="15" spans="1:15">
      <c r="A60" s="8">
        <v>58</v>
      </c>
      <c r="B60" s="8"/>
      <c r="C60" s="8"/>
      <c r="D60" s="8"/>
      <c r="E60" s="8" t="s">
        <v>129</v>
      </c>
      <c r="F60" s="14" t="s">
        <v>623</v>
      </c>
      <c r="G60" s="14" t="s">
        <v>624</v>
      </c>
      <c r="H60" s="15">
        <v>1</v>
      </c>
      <c r="I60" s="8" t="s">
        <v>533</v>
      </c>
      <c r="J60" s="8"/>
      <c r="K60" s="16">
        <v>5</v>
      </c>
      <c r="L60" s="12">
        <v>0.01</v>
      </c>
      <c r="M60" s="11">
        <f t="shared" si="0"/>
        <v>5</v>
      </c>
      <c r="N60" s="8" t="s">
        <v>519</v>
      </c>
      <c r="O60" s="8"/>
    </row>
    <row r="61" ht="15" spans="1:15">
      <c r="A61" s="8">
        <v>59</v>
      </c>
      <c r="B61" s="8"/>
      <c r="C61" s="8"/>
      <c r="D61" s="8"/>
      <c r="E61" s="8" t="s">
        <v>129</v>
      </c>
      <c r="F61" s="14" t="s">
        <v>623</v>
      </c>
      <c r="G61" s="14" t="s">
        <v>625</v>
      </c>
      <c r="H61" s="15">
        <v>1</v>
      </c>
      <c r="I61" s="8" t="s">
        <v>533</v>
      </c>
      <c r="J61" s="8"/>
      <c r="K61" s="16">
        <v>8</v>
      </c>
      <c r="L61" s="12">
        <v>0.01</v>
      </c>
      <c r="M61" s="11">
        <f t="shared" si="0"/>
        <v>8</v>
      </c>
      <c r="N61" s="8" t="s">
        <v>519</v>
      </c>
      <c r="O61" s="8"/>
    </row>
    <row r="62" ht="15" spans="1:15">
      <c r="A62" s="8">
        <v>60</v>
      </c>
      <c r="B62" s="8"/>
      <c r="C62" s="8"/>
      <c r="D62" s="8"/>
      <c r="E62" s="8" t="s">
        <v>129</v>
      </c>
      <c r="F62" s="14" t="s">
        <v>626</v>
      </c>
      <c r="G62" s="14" t="s">
        <v>627</v>
      </c>
      <c r="H62" s="15">
        <v>1</v>
      </c>
      <c r="I62" s="8" t="s">
        <v>109</v>
      </c>
      <c r="J62" s="8"/>
      <c r="K62" s="16">
        <v>14</v>
      </c>
      <c r="L62" s="12">
        <v>0.01</v>
      </c>
      <c r="M62" s="11">
        <f t="shared" si="0"/>
        <v>14</v>
      </c>
      <c r="N62" s="8" t="s">
        <v>519</v>
      </c>
      <c r="O62" s="8"/>
    </row>
    <row r="63" ht="15" spans="1:15">
      <c r="A63" s="8">
        <v>61</v>
      </c>
      <c r="B63" s="8"/>
      <c r="C63" s="8"/>
      <c r="D63" s="8"/>
      <c r="E63" s="8" t="s">
        <v>129</v>
      </c>
      <c r="F63" s="14" t="s">
        <v>628</v>
      </c>
      <c r="G63" s="14" t="s">
        <v>629</v>
      </c>
      <c r="H63" s="15">
        <v>1</v>
      </c>
      <c r="I63" s="8" t="s">
        <v>109</v>
      </c>
      <c r="J63" s="8"/>
      <c r="K63" s="16">
        <v>235</v>
      </c>
      <c r="L63" s="12">
        <v>0.01</v>
      </c>
      <c r="M63" s="11">
        <f t="shared" si="0"/>
        <v>235</v>
      </c>
      <c r="N63" s="8" t="s">
        <v>519</v>
      </c>
      <c r="O63" s="8"/>
    </row>
    <row r="64" ht="15" spans="1:15">
      <c r="A64" s="8">
        <v>62</v>
      </c>
      <c r="B64" s="8"/>
      <c r="C64" s="8"/>
      <c r="D64" s="8"/>
      <c r="E64" s="8" t="s">
        <v>129</v>
      </c>
      <c r="F64" s="14" t="s">
        <v>630</v>
      </c>
      <c r="G64" s="14" t="s">
        <v>631</v>
      </c>
      <c r="H64" s="15">
        <v>1</v>
      </c>
      <c r="I64" s="8" t="s">
        <v>109</v>
      </c>
      <c r="J64" s="8"/>
      <c r="K64" s="16">
        <v>50</v>
      </c>
      <c r="L64" s="12">
        <v>0.01</v>
      </c>
      <c r="M64" s="11">
        <f t="shared" si="0"/>
        <v>50</v>
      </c>
      <c r="N64" s="8" t="s">
        <v>519</v>
      </c>
      <c r="O64" s="8"/>
    </row>
    <row r="65" ht="15.75" customHeight="1" spans="1:15">
      <c r="A65" s="8">
        <v>63</v>
      </c>
      <c r="B65" s="8"/>
      <c r="C65" s="8"/>
      <c r="D65" s="8"/>
      <c r="E65" s="8" t="s">
        <v>129</v>
      </c>
      <c r="F65" s="14" t="s">
        <v>632</v>
      </c>
      <c r="G65" s="14" t="s">
        <v>633</v>
      </c>
      <c r="H65" s="15">
        <v>1</v>
      </c>
      <c r="I65" s="8" t="s">
        <v>109</v>
      </c>
      <c r="J65" s="8"/>
      <c r="K65" s="16">
        <v>20</v>
      </c>
      <c r="L65" s="12">
        <v>0.01</v>
      </c>
      <c r="M65" s="11">
        <f t="shared" si="0"/>
        <v>20</v>
      </c>
      <c r="N65" s="8" t="s">
        <v>519</v>
      </c>
      <c r="O65" s="8"/>
    </row>
    <row r="66" ht="15.75" customHeight="1" spans="1:15">
      <c r="A66" s="8">
        <v>64</v>
      </c>
      <c r="B66" s="8"/>
      <c r="C66" s="8"/>
      <c r="D66" s="8"/>
      <c r="E66" s="8" t="s">
        <v>129</v>
      </c>
      <c r="F66" s="14" t="s">
        <v>634</v>
      </c>
      <c r="G66" s="14" t="s">
        <v>635</v>
      </c>
      <c r="H66" s="15">
        <v>3</v>
      </c>
      <c r="I66" s="8" t="s">
        <v>109</v>
      </c>
      <c r="J66" s="8"/>
      <c r="K66" s="16">
        <v>15.5</v>
      </c>
      <c r="L66" s="12">
        <v>0.01</v>
      </c>
      <c r="M66" s="11">
        <f t="shared" si="0"/>
        <v>46.5</v>
      </c>
      <c r="N66" s="8" t="s">
        <v>519</v>
      </c>
      <c r="O66" s="8"/>
    </row>
    <row r="67" ht="15.75" customHeight="1" spans="1:15">
      <c r="A67" s="8">
        <v>65</v>
      </c>
      <c r="B67" s="8"/>
      <c r="C67" s="8"/>
      <c r="D67" s="8"/>
      <c r="E67" s="8" t="s">
        <v>129</v>
      </c>
      <c r="F67" s="14" t="s">
        <v>636</v>
      </c>
      <c r="G67" s="14" t="s">
        <v>637</v>
      </c>
      <c r="H67" s="15">
        <v>2</v>
      </c>
      <c r="I67" s="8" t="s">
        <v>109</v>
      </c>
      <c r="J67" s="8"/>
      <c r="K67" s="16">
        <v>28</v>
      </c>
      <c r="L67" s="12">
        <v>0.01</v>
      </c>
      <c r="M67" s="11">
        <f t="shared" si="0"/>
        <v>56</v>
      </c>
      <c r="N67" s="8" t="s">
        <v>519</v>
      </c>
      <c r="O67" s="8"/>
    </row>
    <row r="68" ht="15" spans="1:15">
      <c r="A68" s="8">
        <v>66</v>
      </c>
      <c r="B68" s="8"/>
      <c r="C68" s="8"/>
      <c r="D68" s="8"/>
      <c r="E68" s="8" t="s">
        <v>129</v>
      </c>
      <c r="F68" s="14" t="s">
        <v>638</v>
      </c>
      <c r="G68" s="14" t="s">
        <v>639</v>
      </c>
      <c r="H68" s="15">
        <v>10</v>
      </c>
      <c r="I68" s="8" t="s">
        <v>109</v>
      </c>
      <c r="K68" s="16">
        <v>2</v>
      </c>
      <c r="L68" s="12">
        <v>0.01</v>
      </c>
      <c r="M68" s="11">
        <f t="shared" ref="M68:M131" si="1">H68*K68</f>
        <v>20</v>
      </c>
      <c r="N68" s="8" t="s">
        <v>519</v>
      </c>
      <c r="O68" s="8"/>
    </row>
    <row r="69" ht="15" spans="1:15">
      <c r="A69" s="8">
        <v>67</v>
      </c>
      <c r="B69" s="8"/>
      <c r="C69" s="8"/>
      <c r="D69" s="8"/>
      <c r="E69" s="8" t="s">
        <v>129</v>
      </c>
      <c r="F69" s="14" t="s">
        <v>638</v>
      </c>
      <c r="G69" s="14" t="s">
        <v>640</v>
      </c>
      <c r="H69" s="15">
        <v>5</v>
      </c>
      <c r="I69" s="8" t="s">
        <v>109</v>
      </c>
      <c r="K69" s="16">
        <v>2</v>
      </c>
      <c r="L69" s="12">
        <v>0.01</v>
      </c>
      <c r="M69" s="11">
        <f t="shared" si="1"/>
        <v>10</v>
      </c>
      <c r="N69" s="8" t="s">
        <v>519</v>
      </c>
      <c r="O69" s="8"/>
    </row>
    <row r="70" ht="15.75" customHeight="1" spans="1:15">
      <c r="A70" s="8">
        <v>68</v>
      </c>
      <c r="B70" s="8"/>
      <c r="C70" s="8"/>
      <c r="D70" s="8"/>
      <c r="E70" s="8" t="s">
        <v>129</v>
      </c>
      <c r="F70" s="14" t="s">
        <v>641</v>
      </c>
      <c r="G70" s="14" t="s">
        <v>642</v>
      </c>
      <c r="H70" s="15">
        <v>1</v>
      </c>
      <c r="I70" s="8" t="s">
        <v>109</v>
      </c>
      <c r="K70" s="16">
        <v>15</v>
      </c>
      <c r="L70" s="12">
        <v>0.01</v>
      </c>
      <c r="M70" s="11">
        <f t="shared" si="1"/>
        <v>15</v>
      </c>
      <c r="N70" s="8" t="s">
        <v>519</v>
      </c>
      <c r="O70" s="8"/>
    </row>
    <row r="71" ht="15" spans="1:15">
      <c r="A71" s="8">
        <v>69</v>
      </c>
      <c r="B71" s="8"/>
      <c r="C71" s="8"/>
      <c r="D71" s="8"/>
      <c r="E71" s="8" t="s">
        <v>129</v>
      </c>
      <c r="F71" s="14" t="s">
        <v>643</v>
      </c>
      <c r="G71" s="14" t="s">
        <v>644</v>
      </c>
      <c r="H71" s="15">
        <v>1</v>
      </c>
      <c r="I71" s="8" t="s">
        <v>109</v>
      </c>
      <c r="K71" s="16">
        <v>5</v>
      </c>
      <c r="L71" s="12">
        <v>0.01</v>
      </c>
      <c r="M71" s="11">
        <f t="shared" si="1"/>
        <v>5</v>
      </c>
      <c r="N71" s="8" t="s">
        <v>519</v>
      </c>
      <c r="O71" s="8"/>
    </row>
    <row r="72" ht="15.75" customHeight="1" spans="1:15">
      <c r="A72" s="8">
        <v>70</v>
      </c>
      <c r="B72" s="8"/>
      <c r="C72" s="8"/>
      <c r="D72" s="8"/>
      <c r="E72" s="8" t="s">
        <v>129</v>
      </c>
      <c r="F72" s="14" t="s">
        <v>645</v>
      </c>
      <c r="G72" s="14" t="s">
        <v>646</v>
      </c>
      <c r="H72" s="15">
        <v>1</v>
      </c>
      <c r="I72" s="19" t="s">
        <v>316</v>
      </c>
      <c r="K72" s="16">
        <v>45</v>
      </c>
      <c r="L72" s="12">
        <v>0.01</v>
      </c>
      <c r="M72" s="11">
        <f t="shared" si="1"/>
        <v>45</v>
      </c>
      <c r="N72" s="8" t="s">
        <v>519</v>
      </c>
      <c r="O72" s="8"/>
    </row>
    <row r="73" ht="15" spans="1:15">
      <c r="A73" s="8">
        <v>71</v>
      </c>
      <c r="B73" s="8"/>
      <c r="C73" s="8"/>
      <c r="D73" s="8"/>
      <c r="E73" s="8" t="s">
        <v>129</v>
      </c>
      <c r="F73" s="14" t="s">
        <v>555</v>
      </c>
      <c r="G73" s="14" t="s">
        <v>647</v>
      </c>
      <c r="H73" s="15">
        <v>1</v>
      </c>
      <c r="I73" s="19" t="s">
        <v>241</v>
      </c>
      <c r="K73" s="16">
        <v>19.5</v>
      </c>
      <c r="L73" s="12">
        <v>0.01</v>
      </c>
      <c r="M73" s="11">
        <f t="shared" si="1"/>
        <v>19.5</v>
      </c>
      <c r="N73" s="8" t="s">
        <v>519</v>
      </c>
      <c r="O73" s="8"/>
    </row>
    <row r="74" ht="15" spans="1:15">
      <c r="A74" s="8">
        <v>72</v>
      </c>
      <c r="B74" s="8"/>
      <c r="C74" s="8"/>
      <c r="D74" s="8"/>
      <c r="E74" s="8" t="s">
        <v>129</v>
      </c>
      <c r="F74" s="14" t="s">
        <v>648</v>
      </c>
      <c r="G74" s="14" t="s">
        <v>649</v>
      </c>
      <c r="H74" s="15">
        <v>2</v>
      </c>
      <c r="I74" s="19" t="s">
        <v>109</v>
      </c>
      <c r="K74" s="16">
        <v>48</v>
      </c>
      <c r="L74" s="12">
        <v>0.01</v>
      </c>
      <c r="M74" s="11">
        <f t="shared" si="1"/>
        <v>96</v>
      </c>
      <c r="N74" s="8" t="s">
        <v>519</v>
      </c>
      <c r="O74" s="8"/>
    </row>
    <row r="75" ht="15" spans="1:15">
      <c r="A75" s="8">
        <v>73</v>
      </c>
      <c r="B75" s="8"/>
      <c r="C75" s="8"/>
      <c r="D75" s="8"/>
      <c r="E75" s="8" t="s">
        <v>129</v>
      </c>
      <c r="F75" s="14" t="s">
        <v>648</v>
      </c>
      <c r="G75" s="14" t="s">
        <v>650</v>
      </c>
      <c r="H75" s="15">
        <v>5</v>
      </c>
      <c r="I75" s="19" t="s">
        <v>109</v>
      </c>
      <c r="K75" s="16">
        <v>53</v>
      </c>
      <c r="L75" s="12">
        <v>0.01</v>
      </c>
      <c r="M75" s="11">
        <f t="shared" si="1"/>
        <v>265</v>
      </c>
      <c r="N75" s="8" t="s">
        <v>519</v>
      </c>
      <c r="O75" s="8"/>
    </row>
    <row r="76" ht="15" spans="1:15">
      <c r="A76" s="8">
        <v>74</v>
      </c>
      <c r="B76" s="8"/>
      <c r="C76" s="8"/>
      <c r="D76" s="8"/>
      <c r="E76" s="8" t="s">
        <v>129</v>
      </c>
      <c r="F76" s="14" t="s">
        <v>651</v>
      </c>
      <c r="G76" s="14" t="s">
        <v>652</v>
      </c>
      <c r="H76" s="15">
        <v>1</v>
      </c>
      <c r="I76" s="19" t="s">
        <v>109</v>
      </c>
      <c r="K76" s="16">
        <v>449</v>
      </c>
      <c r="L76" s="12">
        <v>0.01</v>
      </c>
      <c r="M76" s="11">
        <f t="shared" si="1"/>
        <v>449</v>
      </c>
      <c r="N76" s="8" t="s">
        <v>519</v>
      </c>
      <c r="O76" s="8"/>
    </row>
    <row r="77" ht="15" spans="1:15">
      <c r="A77" s="8">
        <v>75</v>
      </c>
      <c r="B77" s="8"/>
      <c r="C77" s="8"/>
      <c r="D77" s="8"/>
      <c r="E77" s="8" t="s">
        <v>129</v>
      </c>
      <c r="F77" s="14" t="s">
        <v>653</v>
      </c>
      <c r="G77" s="14" t="s">
        <v>654</v>
      </c>
      <c r="H77" s="15">
        <v>1</v>
      </c>
      <c r="I77" s="19" t="s">
        <v>109</v>
      </c>
      <c r="K77" s="16">
        <v>138</v>
      </c>
      <c r="L77" s="12">
        <v>0.01</v>
      </c>
      <c r="M77" s="11">
        <f t="shared" si="1"/>
        <v>138</v>
      </c>
      <c r="N77" s="8" t="s">
        <v>519</v>
      </c>
      <c r="O77" s="8"/>
    </row>
    <row r="78" ht="15.75" customHeight="1" spans="1:15">
      <c r="A78" s="8">
        <v>76</v>
      </c>
      <c r="B78" s="8"/>
      <c r="C78" s="8"/>
      <c r="D78" s="8"/>
      <c r="E78" s="8" t="s">
        <v>129</v>
      </c>
      <c r="F78" s="14" t="s">
        <v>655</v>
      </c>
      <c r="G78" s="14" t="s">
        <v>656</v>
      </c>
      <c r="H78" s="15">
        <v>5</v>
      </c>
      <c r="I78" s="19" t="s">
        <v>570</v>
      </c>
      <c r="K78" s="16">
        <v>41</v>
      </c>
      <c r="L78" s="12">
        <v>0.01</v>
      </c>
      <c r="M78" s="11">
        <f t="shared" si="1"/>
        <v>205</v>
      </c>
      <c r="N78" s="8" t="s">
        <v>519</v>
      </c>
      <c r="O78" s="8"/>
    </row>
    <row r="79" ht="15.75" customHeight="1" spans="1:15">
      <c r="A79" s="8">
        <v>77</v>
      </c>
      <c r="B79" s="8"/>
      <c r="C79" s="8"/>
      <c r="D79" s="8"/>
      <c r="E79" s="8" t="s">
        <v>129</v>
      </c>
      <c r="F79" s="14" t="s">
        <v>657</v>
      </c>
      <c r="G79" s="14" t="s">
        <v>658</v>
      </c>
      <c r="H79" s="15">
        <v>3</v>
      </c>
      <c r="I79" s="19" t="s">
        <v>570</v>
      </c>
      <c r="K79" s="16">
        <v>44</v>
      </c>
      <c r="L79" s="12">
        <v>0.01</v>
      </c>
      <c r="M79" s="11">
        <f t="shared" si="1"/>
        <v>132</v>
      </c>
      <c r="N79" s="8" t="s">
        <v>519</v>
      </c>
      <c r="O79" s="8"/>
    </row>
    <row r="80" ht="15" spans="1:15">
      <c r="A80" s="8">
        <v>78</v>
      </c>
      <c r="B80" s="8"/>
      <c r="C80" s="8"/>
      <c r="D80" s="8"/>
      <c r="E80" s="8" t="s">
        <v>129</v>
      </c>
      <c r="F80" s="14" t="s">
        <v>659</v>
      </c>
      <c r="G80" s="14"/>
      <c r="H80" s="15">
        <v>5</v>
      </c>
      <c r="I80" s="19" t="s">
        <v>109</v>
      </c>
      <c r="K80" s="16">
        <v>0</v>
      </c>
      <c r="L80" s="12">
        <v>0.01</v>
      </c>
      <c r="M80" s="11">
        <f t="shared" si="1"/>
        <v>0</v>
      </c>
      <c r="N80" s="8" t="s">
        <v>519</v>
      </c>
    </row>
    <row r="81" ht="15.75" customHeight="1" spans="1:14">
      <c r="A81" s="8">
        <v>79</v>
      </c>
      <c r="B81" s="8"/>
      <c r="C81" s="8"/>
      <c r="D81" s="8"/>
      <c r="E81" s="8" t="s">
        <v>129</v>
      </c>
      <c r="F81" s="14" t="s">
        <v>660</v>
      </c>
      <c r="G81" s="14" t="s">
        <v>661</v>
      </c>
      <c r="H81" s="15">
        <v>1</v>
      </c>
      <c r="I81" s="19" t="s">
        <v>533</v>
      </c>
      <c r="K81" s="16">
        <v>276.9</v>
      </c>
      <c r="L81" s="12">
        <v>0.01</v>
      </c>
      <c r="M81" s="11">
        <f t="shared" si="1"/>
        <v>276.9</v>
      </c>
      <c r="N81" s="8" t="s">
        <v>519</v>
      </c>
    </row>
    <row r="82" ht="15" spans="1:14">
      <c r="A82" s="8">
        <v>80</v>
      </c>
      <c r="B82" s="8"/>
      <c r="C82" s="8"/>
      <c r="D82" s="8"/>
      <c r="E82" s="8" t="s">
        <v>129</v>
      </c>
      <c r="F82" s="14" t="s">
        <v>662</v>
      </c>
      <c r="G82" s="14" t="s">
        <v>663</v>
      </c>
      <c r="H82" s="15">
        <v>20</v>
      </c>
      <c r="I82" s="19" t="s">
        <v>570</v>
      </c>
      <c r="K82" s="16">
        <v>13.6</v>
      </c>
      <c r="L82" s="12">
        <v>0.01</v>
      </c>
      <c r="M82" s="11">
        <f t="shared" si="1"/>
        <v>272</v>
      </c>
      <c r="N82" s="8" t="s">
        <v>519</v>
      </c>
    </row>
    <row r="83" ht="15.75" customHeight="1" spans="1:14">
      <c r="A83" s="8">
        <v>81</v>
      </c>
      <c r="B83" s="8"/>
      <c r="C83" s="8"/>
      <c r="D83" s="8"/>
      <c r="E83" s="8" t="s">
        <v>129</v>
      </c>
      <c r="F83" s="14" t="s">
        <v>664</v>
      </c>
      <c r="G83" s="14" t="s">
        <v>665</v>
      </c>
      <c r="H83" s="15">
        <v>1</v>
      </c>
      <c r="I83" s="19" t="s">
        <v>570</v>
      </c>
      <c r="K83" s="16">
        <v>72</v>
      </c>
      <c r="L83" s="12">
        <v>0.01</v>
      </c>
      <c r="M83" s="11">
        <f t="shared" si="1"/>
        <v>72</v>
      </c>
      <c r="N83" s="8" t="s">
        <v>519</v>
      </c>
    </row>
    <row r="84" ht="15.75" customHeight="1" spans="1:14">
      <c r="A84" s="8">
        <v>82</v>
      </c>
      <c r="B84" s="8"/>
      <c r="C84" s="8"/>
      <c r="D84" s="8"/>
      <c r="E84" s="8" t="s">
        <v>129</v>
      </c>
      <c r="F84" s="14" t="s">
        <v>664</v>
      </c>
      <c r="G84" s="14" t="s">
        <v>666</v>
      </c>
      <c r="H84" s="15">
        <v>1</v>
      </c>
      <c r="I84" s="19" t="s">
        <v>570</v>
      </c>
      <c r="K84" s="16">
        <v>54</v>
      </c>
      <c r="L84" s="12">
        <v>0.01</v>
      </c>
      <c r="M84" s="11">
        <f t="shared" si="1"/>
        <v>54</v>
      </c>
      <c r="N84" s="8" t="s">
        <v>519</v>
      </c>
    </row>
    <row r="85" ht="15.75" customHeight="1" spans="1:14">
      <c r="A85" s="8">
        <v>83</v>
      </c>
      <c r="B85" s="8"/>
      <c r="C85" s="8"/>
      <c r="D85" s="8"/>
      <c r="E85" s="8" t="s">
        <v>129</v>
      </c>
      <c r="F85" s="14" t="s">
        <v>667</v>
      </c>
      <c r="G85" s="14" t="s">
        <v>668</v>
      </c>
      <c r="H85" s="15">
        <v>2</v>
      </c>
      <c r="I85" s="19" t="s">
        <v>469</v>
      </c>
      <c r="K85" s="16">
        <v>21</v>
      </c>
      <c r="L85" s="12">
        <v>0.01</v>
      </c>
      <c r="M85" s="11">
        <f t="shared" si="1"/>
        <v>42</v>
      </c>
      <c r="N85" s="8" t="s">
        <v>519</v>
      </c>
    </row>
    <row r="86" ht="15" spans="1:14">
      <c r="A86" s="8">
        <v>84</v>
      </c>
      <c r="B86" s="8"/>
      <c r="C86" s="8"/>
      <c r="D86" s="8"/>
      <c r="E86" s="8" t="s">
        <v>129</v>
      </c>
      <c r="F86" s="14" t="s">
        <v>669</v>
      </c>
      <c r="G86" s="14"/>
      <c r="H86" s="15">
        <v>1</v>
      </c>
      <c r="I86" s="19" t="s">
        <v>469</v>
      </c>
      <c r="K86" s="16">
        <v>10</v>
      </c>
      <c r="L86" s="12">
        <v>0.01</v>
      </c>
      <c r="M86" s="11">
        <f t="shared" si="1"/>
        <v>10</v>
      </c>
      <c r="N86" s="8" t="s">
        <v>519</v>
      </c>
    </row>
    <row r="87" ht="15" spans="1:14">
      <c r="A87" s="8">
        <v>85</v>
      </c>
      <c r="B87" s="8"/>
      <c r="C87" s="8"/>
      <c r="D87" s="8"/>
      <c r="E87" s="8" t="s">
        <v>129</v>
      </c>
      <c r="F87" s="14" t="s">
        <v>670</v>
      </c>
      <c r="G87" s="14" t="s">
        <v>671</v>
      </c>
      <c r="H87" s="15">
        <v>3</v>
      </c>
      <c r="I87" s="19" t="s">
        <v>469</v>
      </c>
      <c r="K87" s="16">
        <v>12</v>
      </c>
      <c r="L87" s="12">
        <v>0.01</v>
      </c>
      <c r="M87" s="11">
        <f t="shared" si="1"/>
        <v>36</v>
      </c>
      <c r="N87" s="8" t="s">
        <v>519</v>
      </c>
    </row>
    <row r="88" ht="15.75" customHeight="1" spans="1:14">
      <c r="A88" s="8">
        <v>86</v>
      </c>
      <c r="B88" s="8"/>
      <c r="C88" s="8"/>
      <c r="D88" s="8"/>
      <c r="E88" s="8" t="s">
        <v>129</v>
      </c>
      <c r="F88" s="14" t="s">
        <v>672</v>
      </c>
      <c r="G88" s="14" t="s">
        <v>673</v>
      </c>
      <c r="H88" s="15">
        <v>20</v>
      </c>
      <c r="I88" s="19" t="s">
        <v>674</v>
      </c>
      <c r="K88" s="16">
        <v>9.5</v>
      </c>
      <c r="L88" s="12">
        <v>0.01</v>
      </c>
      <c r="M88" s="11">
        <f t="shared" si="1"/>
        <v>190</v>
      </c>
      <c r="N88" s="8" t="s">
        <v>519</v>
      </c>
    </row>
    <row r="89" ht="15" spans="1:14">
      <c r="A89" s="8">
        <v>87</v>
      </c>
      <c r="B89" s="8"/>
      <c r="C89" s="8"/>
      <c r="D89" s="8"/>
      <c r="E89" s="8" t="s">
        <v>129</v>
      </c>
      <c r="F89" s="14" t="s">
        <v>675</v>
      </c>
      <c r="G89" s="14" t="s">
        <v>676</v>
      </c>
      <c r="H89" s="15">
        <v>2</v>
      </c>
      <c r="I89" s="19" t="s">
        <v>109</v>
      </c>
      <c r="K89" s="16">
        <v>17.5</v>
      </c>
      <c r="L89" s="12">
        <v>0.01</v>
      </c>
      <c r="M89" s="11">
        <f t="shared" si="1"/>
        <v>35</v>
      </c>
      <c r="N89" s="8" t="s">
        <v>519</v>
      </c>
    </row>
    <row r="90" ht="15" spans="1:14">
      <c r="A90" s="8">
        <v>88</v>
      </c>
      <c r="B90" s="8"/>
      <c r="C90" s="8"/>
      <c r="D90" s="8"/>
      <c r="E90" s="8" t="s">
        <v>129</v>
      </c>
      <c r="F90" s="14" t="s">
        <v>677</v>
      </c>
      <c r="G90" s="14"/>
      <c r="H90" s="15">
        <v>1</v>
      </c>
      <c r="I90" s="19" t="s">
        <v>109</v>
      </c>
      <c r="K90" s="16">
        <v>65</v>
      </c>
      <c r="L90" s="12">
        <v>0.01</v>
      </c>
      <c r="M90" s="11">
        <f t="shared" si="1"/>
        <v>65</v>
      </c>
      <c r="N90" s="8" t="s">
        <v>519</v>
      </c>
    </row>
    <row r="91" ht="15" spans="1:14">
      <c r="A91" s="8">
        <v>89</v>
      </c>
      <c r="B91" s="8"/>
      <c r="C91" s="8"/>
      <c r="D91" s="8"/>
      <c r="E91" s="8" t="s">
        <v>129</v>
      </c>
      <c r="F91" s="14" t="s">
        <v>678</v>
      </c>
      <c r="G91" s="14" t="s">
        <v>679</v>
      </c>
      <c r="H91" s="15">
        <v>3</v>
      </c>
      <c r="I91" s="19" t="s">
        <v>469</v>
      </c>
      <c r="K91" s="16">
        <v>90</v>
      </c>
      <c r="L91" s="12">
        <v>0.01</v>
      </c>
      <c r="M91" s="11">
        <f t="shared" si="1"/>
        <v>270</v>
      </c>
      <c r="N91" s="8" t="s">
        <v>519</v>
      </c>
    </row>
    <row r="92" ht="15" spans="1:14">
      <c r="A92" s="8">
        <v>90</v>
      </c>
      <c r="B92" s="8"/>
      <c r="C92" s="8"/>
      <c r="D92" s="8"/>
      <c r="E92" s="8" t="s">
        <v>129</v>
      </c>
      <c r="F92" s="14" t="s">
        <v>680</v>
      </c>
      <c r="G92" s="14" t="s">
        <v>681</v>
      </c>
      <c r="H92" s="15">
        <v>100</v>
      </c>
      <c r="I92" s="19" t="s">
        <v>109</v>
      </c>
      <c r="K92" s="16">
        <v>1.6</v>
      </c>
      <c r="L92" s="12">
        <v>0.01</v>
      </c>
      <c r="M92" s="11">
        <f t="shared" si="1"/>
        <v>160</v>
      </c>
      <c r="N92" s="8" t="s">
        <v>519</v>
      </c>
    </row>
    <row r="93" ht="15.75" customHeight="1" spans="1:14">
      <c r="A93" s="8">
        <v>91</v>
      </c>
      <c r="B93" s="8"/>
      <c r="C93" s="8"/>
      <c r="D93" s="8"/>
      <c r="E93" s="8" t="s">
        <v>129</v>
      </c>
      <c r="F93" s="14" t="s">
        <v>600</v>
      </c>
      <c r="G93" s="14" t="s">
        <v>682</v>
      </c>
      <c r="H93" s="15">
        <v>40</v>
      </c>
      <c r="I93" s="8" t="s">
        <v>109</v>
      </c>
      <c r="J93" s="8"/>
      <c r="K93" s="16">
        <v>2.65</v>
      </c>
      <c r="L93" s="12">
        <v>0.01</v>
      </c>
      <c r="M93" s="11">
        <f t="shared" si="1"/>
        <v>106</v>
      </c>
      <c r="N93" s="8" t="s">
        <v>519</v>
      </c>
    </row>
    <row r="94" ht="15.75" customHeight="1" spans="1:14">
      <c r="A94" s="8">
        <v>92</v>
      </c>
      <c r="B94" s="8"/>
      <c r="C94" s="8"/>
      <c r="D94" s="8"/>
      <c r="E94" s="8" t="s">
        <v>129</v>
      </c>
      <c r="F94" s="14" t="s">
        <v>683</v>
      </c>
      <c r="G94" s="14" t="s">
        <v>684</v>
      </c>
      <c r="H94" s="15">
        <v>2</v>
      </c>
      <c r="I94" s="8" t="s">
        <v>109</v>
      </c>
      <c r="J94" s="8"/>
      <c r="K94" s="16">
        <v>132</v>
      </c>
      <c r="L94" s="12">
        <v>0.01</v>
      </c>
      <c r="M94" s="11">
        <f t="shared" si="1"/>
        <v>264</v>
      </c>
      <c r="N94" s="8" t="s">
        <v>519</v>
      </c>
    </row>
    <row r="95" ht="15" spans="1:14">
      <c r="A95" s="8">
        <v>93</v>
      </c>
      <c r="B95" s="8"/>
      <c r="C95" s="8"/>
      <c r="D95" s="8"/>
      <c r="E95" s="8" t="s">
        <v>129</v>
      </c>
      <c r="F95" s="14" t="s">
        <v>685</v>
      </c>
      <c r="G95" s="14" t="s">
        <v>686</v>
      </c>
      <c r="H95" s="15">
        <v>1</v>
      </c>
      <c r="I95" s="8" t="s">
        <v>109</v>
      </c>
      <c r="J95" s="8"/>
      <c r="K95" s="16">
        <v>725</v>
      </c>
      <c r="L95" s="12">
        <v>0.01</v>
      </c>
      <c r="M95" s="11">
        <f t="shared" si="1"/>
        <v>725</v>
      </c>
      <c r="N95" s="8" t="s">
        <v>519</v>
      </c>
    </row>
    <row r="96" ht="15" spans="1:14">
      <c r="A96" s="8">
        <v>94</v>
      </c>
      <c r="B96" s="8"/>
      <c r="C96" s="8"/>
      <c r="D96" s="8"/>
      <c r="E96" s="8" t="s">
        <v>129</v>
      </c>
      <c r="F96" s="14" t="s">
        <v>687</v>
      </c>
      <c r="G96" s="14" t="s">
        <v>688</v>
      </c>
      <c r="H96" s="15">
        <v>1</v>
      </c>
      <c r="I96" s="8" t="s">
        <v>109</v>
      </c>
      <c r="J96" s="8"/>
      <c r="K96" s="16">
        <v>485</v>
      </c>
      <c r="L96" s="12">
        <v>0.01</v>
      </c>
      <c r="M96" s="11">
        <f t="shared" si="1"/>
        <v>485</v>
      </c>
      <c r="N96" s="8" t="s">
        <v>519</v>
      </c>
    </row>
    <row r="97" ht="15.75" customHeight="1" spans="1:14">
      <c r="A97" s="8">
        <v>95</v>
      </c>
      <c r="B97" s="8"/>
      <c r="C97" s="8"/>
      <c r="D97" s="8"/>
      <c r="E97" s="8" t="s">
        <v>129</v>
      </c>
      <c r="F97" s="14" t="s">
        <v>539</v>
      </c>
      <c r="G97" s="14" t="s">
        <v>689</v>
      </c>
      <c r="H97" s="15">
        <v>1</v>
      </c>
      <c r="I97" s="8" t="s">
        <v>109</v>
      </c>
      <c r="J97" s="8"/>
      <c r="K97" s="16">
        <v>100</v>
      </c>
      <c r="L97" s="12">
        <v>0.01</v>
      </c>
      <c r="M97" s="11">
        <f t="shared" si="1"/>
        <v>100</v>
      </c>
      <c r="N97" s="8" t="s">
        <v>519</v>
      </c>
    </row>
    <row r="98" ht="15" spans="1:14">
      <c r="A98" s="8">
        <v>96</v>
      </c>
      <c r="B98" s="8"/>
      <c r="C98" s="8"/>
      <c r="D98" s="8"/>
      <c r="E98" s="8" t="s">
        <v>129</v>
      </c>
      <c r="F98" s="14" t="s">
        <v>690</v>
      </c>
      <c r="G98" s="14" t="s">
        <v>691</v>
      </c>
      <c r="H98" s="15">
        <v>125</v>
      </c>
      <c r="I98" s="8" t="s">
        <v>109</v>
      </c>
      <c r="J98" s="8"/>
      <c r="K98" s="16">
        <v>1.6</v>
      </c>
      <c r="L98" s="12">
        <v>0.01</v>
      </c>
      <c r="M98" s="11">
        <f t="shared" si="1"/>
        <v>200</v>
      </c>
      <c r="N98" s="8" t="s">
        <v>519</v>
      </c>
    </row>
    <row r="99" ht="15.75" customHeight="1" spans="1:14">
      <c r="A99" s="8">
        <v>97</v>
      </c>
      <c r="B99" s="8"/>
      <c r="C99" s="8"/>
      <c r="D99" s="8"/>
      <c r="E99" s="8" t="s">
        <v>129</v>
      </c>
      <c r="F99" s="14" t="s">
        <v>692</v>
      </c>
      <c r="G99" s="14" t="s">
        <v>693</v>
      </c>
      <c r="H99" s="15">
        <v>1</v>
      </c>
      <c r="I99" s="8" t="s">
        <v>109</v>
      </c>
      <c r="J99" s="8"/>
      <c r="K99" s="16">
        <v>32</v>
      </c>
      <c r="L99" s="12">
        <v>0.01</v>
      </c>
      <c r="M99" s="11">
        <f t="shared" si="1"/>
        <v>32</v>
      </c>
      <c r="N99" s="8" t="s">
        <v>519</v>
      </c>
    </row>
    <row r="100" ht="15" spans="1:14">
      <c r="A100" s="8">
        <v>98</v>
      </c>
      <c r="B100" s="8"/>
      <c r="C100" s="8"/>
      <c r="D100" s="8"/>
      <c r="E100" s="8" t="s">
        <v>129</v>
      </c>
      <c r="F100" s="14" t="s">
        <v>630</v>
      </c>
      <c r="G100" s="14" t="s">
        <v>694</v>
      </c>
      <c r="H100" s="15">
        <v>2</v>
      </c>
      <c r="I100" s="8" t="s">
        <v>109</v>
      </c>
      <c r="J100" s="8"/>
      <c r="K100" s="16">
        <v>11</v>
      </c>
      <c r="L100" s="12">
        <v>0.01</v>
      </c>
      <c r="M100" s="11">
        <f t="shared" si="1"/>
        <v>22</v>
      </c>
      <c r="N100" s="8" t="s">
        <v>519</v>
      </c>
    </row>
    <row r="101" ht="15.75" customHeight="1" spans="1:14">
      <c r="A101" s="8">
        <v>99</v>
      </c>
      <c r="B101" s="8"/>
      <c r="C101" s="8"/>
      <c r="D101" s="8"/>
      <c r="E101" s="8" t="s">
        <v>129</v>
      </c>
      <c r="F101" s="14" t="s">
        <v>695</v>
      </c>
      <c r="G101" s="14" t="s">
        <v>696</v>
      </c>
      <c r="H101" s="15">
        <v>1</v>
      </c>
      <c r="I101" s="8" t="s">
        <v>109</v>
      </c>
      <c r="J101" s="8"/>
      <c r="K101" s="16">
        <v>13.5</v>
      </c>
      <c r="L101" s="12">
        <v>0.01</v>
      </c>
      <c r="M101" s="11">
        <f t="shared" si="1"/>
        <v>13.5</v>
      </c>
      <c r="N101" s="8" t="s">
        <v>519</v>
      </c>
    </row>
    <row r="102" ht="15" spans="1:14">
      <c r="A102" s="8">
        <v>100</v>
      </c>
      <c r="B102" s="8"/>
      <c r="C102" s="8"/>
      <c r="D102" s="8"/>
      <c r="E102" s="8" t="s">
        <v>129</v>
      </c>
      <c r="F102" s="14" t="s">
        <v>697</v>
      </c>
      <c r="G102" s="14" t="s">
        <v>698</v>
      </c>
      <c r="H102" s="15">
        <v>30</v>
      </c>
      <c r="I102" s="8" t="s">
        <v>109</v>
      </c>
      <c r="J102" s="8"/>
      <c r="K102" s="16">
        <v>2.2</v>
      </c>
      <c r="L102" s="12">
        <v>0.01</v>
      </c>
      <c r="M102" s="11">
        <f t="shared" si="1"/>
        <v>66</v>
      </c>
      <c r="N102" s="8" t="s">
        <v>519</v>
      </c>
    </row>
    <row r="103" ht="15.75" customHeight="1" spans="1:14">
      <c r="A103" s="8">
        <v>101</v>
      </c>
      <c r="B103" s="8"/>
      <c r="C103" s="8"/>
      <c r="D103" s="8"/>
      <c r="E103" s="8" t="s">
        <v>129</v>
      </c>
      <c r="F103" s="14" t="s">
        <v>630</v>
      </c>
      <c r="G103" s="14" t="s">
        <v>699</v>
      </c>
      <c r="H103" s="15">
        <v>3</v>
      </c>
      <c r="I103" s="8" t="s">
        <v>109</v>
      </c>
      <c r="J103" s="8"/>
      <c r="K103" s="16">
        <v>30</v>
      </c>
      <c r="L103" s="12">
        <v>0.01</v>
      </c>
      <c r="M103" s="11">
        <f t="shared" si="1"/>
        <v>90</v>
      </c>
      <c r="N103" s="8" t="s">
        <v>519</v>
      </c>
    </row>
    <row r="104" ht="15.75" customHeight="1" spans="1:14">
      <c r="A104" s="8">
        <v>102</v>
      </c>
      <c r="B104" s="8"/>
      <c r="C104" s="8"/>
      <c r="D104" s="8"/>
      <c r="E104" s="8" t="s">
        <v>129</v>
      </c>
      <c r="F104" s="14" t="s">
        <v>700</v>
      </c>
      <c r="G104" s="14" t="s">
        <v>701</v>
      </c>
      <c r="H104" s="15">
        <v>2</v>
      </c>
      <c r="I104" s="8" t="s">
        <v>109</v>
      </c>
      <c r="J104" s="8"/>
      <c r="K104" s="16">
        <v>4</v>
      </c>
      <c r="L104" s="12">
        <v>0.01</v>
      </c>
      <c r="M104" s="11">
        <f t="shared" si="1"/>
        <v>8</v>
      </c>
      <c r="N104" s="8" t="s">
        <v>519</v>
      </c>
    </row>
    <row r="105" ht="15" spans="1:14">
      <c r="A105" s="8">
        <v>103</v>
      </c>
      <c r="B105" s="8"/>
      <c r="C105" s="8"/>
      <c r="D105" s="8"/>
      <c r="E105" s="8" t="s">
        <v>129</v>
      </c>
      <c r="F105" s="14" t="s">
        <v>702</v>
      </c>
      <c r="G105" s="14" t="s">
        <v>703</v>
      </c>
      <c r="H105" s="15">
        <v>1</v>
      </c>
      <c r="I105" s="8" t="s">
        <v>109</v>
      </c>
      <c r="J105" s="8"/>
      <c r="K105" s="16">
        <v>315</v>
      </c>
      <c r="L105" s="12">
        <v>0.01</v>
      </c>
      <c r="M105" s="11">
        <f t="shared" si="1"/>
        <v>315</v>
      </c>
      <c r="N105" s="8" t="s">
        <v>519</v>
      </c>
    </row>
    <row r="106" ht="15" spans="1:14">
      <c r="A106" s="8">
        <v>104</v>
      </c>
      <c r="B106" s="8"/>
      <c r="C106" s="8"/>
      <c r="D106" s="8"/>
      <c r="E106" s="8" t="s">
        <v>129</v>
      </c>
      <c r="F106" s="14" t="s">
        <v>704</v>
      </c>
      <c r="G106" s="14" t="s">
        <v>705</v>
      </c>
      <c r="H106" s="15">
        <v>5</v>
      </c>
      <c r="I106" s="8" t="s">
        <v>109</v>
      </c>
      <c r="J106" s="8"/>
      <c r="K106" s="16">
        <v>38.8</v>
      </c>
      <c r="L106" s="12">
        <v>0.01</v>
      </c>
      <c r="M106" s="11">
        <f t="shared" si="1"/>
        <v>194</v>
      </c>
      <c r="N106" s="8" t="s">
        <v>519</v>
      </c>
    </row>
    <row r="107" ht="15.75" customHeight="1" spans="1:14">
      <c r="A107" s="8">
        <v>105</v>
      </c>
      <c r="B107" s="8"/>
      <c r="C107" s="8"/>
      <c r="D107" s="8"/>
      <c r="E107" s="8" t="s">
        <v>129</v>
      </c>
      <c r="F107" s="14" t="s">
        <v>581</v>
      </c>
      <c r="G107" s="14" t="s">
        <v>706</v>
      </c>
      <c r="H107" s="15">
        <v>40</v>
      </c>
      <c r="I107" s="8" t="s">
        <v>109</v>
      </c>
      <c r="J107" s="8"/>
      <c r="K107" s="16">
        <v>2.6</v>
      </c>
      <c r="L107" s="12">
        <v>0.01</v>
      </c>
      <c r="M107" s="11">
        <f t="shared" si="1"/>
        <v>104</v>
      </c>
      <c r="N107" s="8" t="s">
        <v>519</v>
      </c>
    </row>
    <row r="108" ht="15" spans="1:14">
      <c r="A108" s="8">
        <v>106</v>
      </c>
      <c r="B108" s="8"/>
      <c r="C108" s="8"/>
      <c r="D108" s="8"/>
      <c r="E108" s="8" t="s">
        <v>129</v>
      </c>
      <c r="F108" s="14" t="s">
        <v>707</v>
      </c>
      <c r="G108" s="14" t="s">
        <v>708</v>
      </c>
      <c r="H108" s="15">
        <v>1</v>
      </c>
      <c r="I108" s="8" t="s">
        <v>109</v>
      </c>
      <c r="J108" s="8"/>
      <c r="K108" s="16">
        <v>45</v>
      </c>
      <c r="L108" s="12">
        <v>0.01</v>
      </c>
      <c r="M108" s="11">
        <f t="shared" si="1"/>
        <v>45</v>
      </c>
      <c r="N108" s="8" t="s">
        <v>519</v>
      </c>
    </row>
    <row r="109" ht="15" spans="1:14">
      <c r="A109" s="8">
        <v>107</v>
      </c>
      <c r="B109" s="8"/>
      <c r="C109" s="8"/>
      <c r="D109" s="8"/>
      <c r="E109" s="8" t="s">
        <v>129</v>
      </c>
      <c r="F109" s="14" t="s">
        <v>709</v>
      </c>
      <c r="G109" s="14" t="s">
        <v>710</v>
      </c>
      <c r="H109" s="15">
        <v>5</v>
      </c>
      <c r="I109" s="8" t="s">
        <v>109</v>
      </c>
      <c r="J109" s="8"/>
      <c r="K109" s="16">
        <v>28</v>
      </c>
      <c r="L109" s="12">
        <v>0.01</v>
      </c>
      <c r="M109" s="11">
        <f t="shared" si="1"/>
        <v>140</v>
      </c>
      <c r="N109" s="8" t="s">
        <v>519</v>
      </c>
    </row>
    <row r="110" ht="15.75" customHeight="1" spans="1:14">
      <c r="A110" s="8">
        <v>108</v>
      </c>
      <c r="B110" s="8"/>
      <c r="C110" s="8"/>
      <c r="D110" s="8"/>
      <c r="E110" s="8" t="s">
        <v>129</v>
      </c>
      <c r="F110" s="14" t="s">
        <v>609</v>
      </c>
      <c r="G110" s="14" t="s">
        <v>711</v>
      </c>
      <c r="H110" s="15">
        <v>3</v>
      </c>
      <c r="I110" s="8" t="s">
        <v>109</v>
      </c>
      <c r="J110" s="8"/>
      <c r="K110" s="16">
        <v>9</v>
      </c>
      <c r="L110" s="12">
        <v>0.01</v>
      </c>
      <c r="M110" s="11">
        <f t="shared" si="1"/>
        <v>27</v>
      </c>
      <c r="N110" s="8" t="s">
        <v>519</v>
      </c>
    </row>
    <row r="111" ht="15" spans="1:14">
      <c r="A111" s="8">
        <v>109</v>
      </c>
      <c r="B111" s="8"/>
      <c r="C111" s="8"/>
      <c r="D111" s="8"/>
      <c r="E111" s="8" t="s">
        <v>129</v>
      </c>
      <c r="F111" s="14" t="s">
        <v>712</v>
      </c>
      <c r="G111" s="14" t="s">
        <v>713</v>
      </c>
      <c r="H111" s="15">
        <v>1</v>
      </c>
      <c r="I111" s="8" t="s">
        <v>109</v>
      </c>
      <c r="J111" s="8"/>
      <c r="K111" s="16">
        <v>36</v>
      </c>
      <c r="L111" s="12">
        <v>0.01</v>
      </c>
      <c r="M111" s="11">
        <f t="shared" si="1"/>
        <v>36</v>
      </c>
      <c r="N111" s="8" t="s">
        <v>519</v>
      </c>
    </row>
    <row r="112" ht="15" spans="1:14">
      <c r="A112" s="8">
        <v>110</v>
      </c>
      <c r="B112" s="8"/>
      <c r="C112" s="8"/>
      <c r="D112" s="8"/>
      <c r="E112" s="8" t="s">
        <v>129</v>
      </c>
      <c r="F112" s="14" t="s">
        <v>714</v>
      </c>
      <c r="G112" s="14" t="s">
        <v>715</v>
      </c>
      <c r="H112" s="15">
        <v>1</v>
      </c>
      <c r="I112" s="8" t="s">
        <v>109</v>
      </c>
      <c r="J112" s="8"/>
      <c r="K112" s="16">
        <v>9</v>
      </c>
      <c r="L112" s="12">
        <v>0.01</v>
      </c>
      <c r="M112" s="11">
        <f t="shared" si="1"/>
        <v>9</v>
      </c>
      <c r="N112" s="8" t="s">
        <v>519</v>
      </c>
    </row>
    <row r="113" ht="15.75" customHeight="1" spans="1:14">
      <c r="A113" s="8">
        <v>111</v>
      </c>
      <c r="B113" s="8"/>
      <c r="C113" s="8"/>
      <c r="D113" s="8"/>
      <c r="E113" s="8" t="s">
        <v>129</v>
      </c>
      <c r="F113" s="14" t="s">
        <v>521</v>
      </c>
      <c r="G113" s="14" t="s">
        <v>716</v>
      </c>
      <c r="H113" s="15">
        <v>1</v>
      </c>
      <c r="I113" s="8" t="s">
        <v>109</v>
      </c>
      <c r="J113" s="8"/>
      <c r="K113" s="16">
        <v>3465</v>
      </c>
      <c r="L113" s="12">
        <v>0.01</v>
      </c>
      <c r="M113" s="11">
        <f t="shared" si="1"/>
        <v>3465</v>
      </c>
      <c r="N113" s="8" t="s">
        <v>519</v>
      </c>
    </row>
    <row r="114" ht="15.75" customHeight="1" spans="1:14">
      <c r="A114" s="8">
        <v>112</v>
      </c>
      <c r="B114" s="8"/>
      <c r="C114" s="8"/>
      <c r="D114" s="8"/>
      <c r="E114" s="8" t="s">
        <v>129</v>
      </c>
      <c r="F114" s="14" t="s">
        <v>717</v>
      </c>
      <c r="G114" s="14" t="s">
        <v>718</v>
      </c>
      <c r="H114" s="15">
        <v>1</v>
      </c>
      <c r="I114" s="8" t="s">
        <v>109</v>
      </c>
      <c r="J114" s="8"/>
      <c r="K114" s="16">
        <v>85</v>
      </c>
      <c r="L114" s="12">
        <v>0.01</v>
      </c>
      <c r="M114" s="11">
        <f t="shared" si="1"/>
        <v>85</v>
      </c>
      <c r="N114" s="8" t="s">
        <v>519</v>
      </c>
    </row>
    <row r="115" ht="15" spans="1:14">
      <c r="A115" s="8">
        <v>113</v>
      </c>
      <c r="B115" s="8"/>
      <c r="C115" s="8"/>
      <c r="D115" s="8"/>
      <c r="E115" s="8" t="s">
        <v>129</v>
      </c>
      <c r="F115" s="14" t="s">
        <v>719</v>
      </c>
      <c r="G115" s="14" t="s">
        <v>720</v>
      </c>
      <c r="H115" s="15">
        <v>1</v>
      </c>
      <c r="I115" s="8" t="s">
        <v>109</v>
      </c>
      <c r="J115" s="8"/>
      <c r="K115" s="16">
        <v>108</v>
      </c>
      <c r="L115" s="12">
        <v>0.01</v>
      </c>
      <c r="M115" s="11">
        <f t="shared" si="1"/>
        <v>108</v>
      </c>
      <c r="N115" s="8" t="s">
        <v>519</v>
      </c>
    </row>
    <row r="116" ht="15" spans="1:14">
      <c r="A116" s="8">
        <v>114</v>
      </c>
      <c r="B116" s="8"/>
      <c r="C116" s="8"/>
      <c r="D116" s="8"/>
      <c r="E116" s="8" t="s">
        <v>129</v>
      </c>
      <c r="F116" s="14" t="s">
        <v>721</v>
      </c>
      <c r="G116" s="14" t="s">
        <v>722</v>
      </c>
      <c r="H116" s="15">
        <v>100</v>
      </c>
      <c r="I116" s="8" t="s">
        <v>109</v>
      </c>
      <c r="J116" s="8"/>
      <c r="K116" s="16">
        <v>0.16</v>
      </c>
      <c r="L116" s="12">
        <v>0.01</v>
      </c>
      <c r="M116" s="11">
        <f t="shared" si="1"/>
        <v>16</v>
      </c>
      <c r="N116" s="8" t="s">
        <v>519</v>
      </c>
    </row>
    <row r="117" ht="15" spans="1:14">
      <c r="A117" s="8">
        <v>115</v>
      </c>
      <c r="B117" s="8"/>
      <c r="C117" s="8"/>
      <c r="D117" s="8"/>
      <c r="E117" s="8" t="s">
        <v>129</v>
      </c>
      <c r="F117" s="14" t="s">
        <v>723</v>
      </c>
      <c r="G117" s="14" t="s">
        <v>724</v>
      </c>
      <c r="H117" s="15">
        <v>11</v>
      </c>
      <c r="I117" s="19" t="s">
        <v>109</v>
      </c>
      <c r="K117" s="16">
        <v>26.5</v>
      </c>
      <c r="L117" s="12">
        <v>0.01</v>
      </c>
      <c r="M117" s="11">
        <f t="shared" si="1"/>
        <v>291.5</v>
      </c>
      <c r="N117" s="8" t="s">
        <v>519</v>
      </c>
    </row>
    <row r="118" ht="15" spans="1:14">
      <c r="A118" s="8">
        <v>116</v>
      </c>
      <c r="B118" s="8"/>
      <c r="C118" s="8"/>
      <c r="D118" s="8"/>
      <c r="E118" s="8" t="s">
        <v>129</v>
      </c>
      <c r="F118" s="14" t="s">
        <v>717</v>
      </c>
      <c r="G118" s="14" t="s">
        <v>725</v>
      </c>
      <c r="H118" s="15">
        <v>1</v>
      </c>
      <c r="I118" s="19" t="s">
        <v>109</v>
      </c>
      <c r="K118" s="16">
        <v>265</v>
      </c>
      <c r="L118" s="12">
        <v>0.01</v>
      </c>
      <c r="M118" s="11">
        <f t="shared" si="1"/>
        <v>265</v>
      </c>
      <c r="N118" s="8" t="s">
        <v>519</v>
      </c>
    </row>
    <row r="119" ht="15.75" customHeight="1" spans="1:14">
      <c r="A119" s="8">
        <v>117</v>
      </c>
      <c r="B119" s="8"/>
      <c r="C119" s="8"/>
      <c r="D119" s="8"/>
      <c r="E119" s="8" t="s">
        <v>129</v>
      </c>
      <c r="F119" s="14" t="s">
        <v>726</v>
      </c>
      <c r="G119" s="14" t="s">
        <v>727</v>
      </c>
      <c r="H119" s="15">
        <v>10</v>
      </c>
      <c r="I119" s="19" t="s">
        <v>109</v>
      </c>
      <c r="K119" s="16">
        <v>26.5</v>
      </c>
      <c r="L119" s="12">
        <v>0.01</v>
      </c>
      <c r="M119" s="11">
        <f t="shared" si="1"/>
        <v>265</v>
      </c>
      <c r="N119" s="8" t="s">
        <v>519</v>
      </c>
    </row>
    <row r="120" ht="30" spans="1:14">
      <c r="A120" s="8">
        <v>118</v>
      </c>
      <c r="B120" s="8"/>
      <c r="C120" s="8"/>
      <c r="D120" s="8"/>
      <c r="E120" s="8" t="s">
        <v>129</v>
      </c>
      <c r="F120" s="15" t="s">
        <v>581</v>
      </c>
      <c r="G120" s="14" t="s">
        <v>706</v>
      </c>
      <c r="H120" s="15">
        <v>40</v>
      </c>
      <c r="K120" s="16">
        <v>2.6</v>
      </c>
      <c r="L120" s="12">
        <v>0.01</v>
      </c>
      <c r="M120" s="11">
        <f t="shared" si="1"/>
        <v>104</v>
      </c>
      <c r="N120" s="8" t="s">
        <v>519</v>
      </c>
    </row>
    <row r="121" ht="15" spans="1:14">
      <c r="A121" s="8">
        <v>119</v>
      </c>
      <c r="B121" s="8"/>
      <c r="C121" s="8"/>
      <c r="D121" s="8"/>
      <c r="E121" s="8" t="s">
        <v>129</v>
      </c>
      <c r="F121" s="15" t="s">
        <v>728</v>
      </c>
      <c r="G121" s="14" t="s">
        <v>729</v>
      </c>
      <c r="H121" s="15">
        <v>1</v>
      </c>
      <c r="K121" s="16">
        <v>940</v>
      </c>
      <c r="L121" s="12">
        <v>0.01</v>
      </c>
      <c r="M121" s="11">
        <f t="shared" si="1"/>
        <v>940</v>
      </c>
      <c r="N121" s="8" t="s">
        <v>519</v>
      </c>
    </row>
    <row r="122" ht="15" spans="1:14">
      <c r="A122" s="8">
        <v>120</v>
      </c>
      <c r="B122" s="8"/>
      <c r="C122" s="8"/>
      <c r="D122" s="8"/>
      <c r="E122" s="8" t="s">
        <v>129</v>
      </c>
      <c r="F122" s="15" t="s">
        <v>730</v>
      </c>
      <c r="G122" s="14" t="s">
        <v>731</v>
      </c>
      <c r="H122" s="15">
        <v>1</v>
      </c>
      <c r="K122" s="16">
        <v>6</v>
      </c>
      <c r="L122" s="12">
        <v>0.01</v>
      </c>
      <c r="M122" s="11">
        <f t="shared" si="1"/>
        <v>6</v>
      </c>
      <c r="N122" s="8" t="s">
        <v>519</v>
      </c>
    </row>
    <row r="123" ht="15" spans="1:14">
      <c r="A123" s="8">
        <v>121</v>
      </c>
      <c r="B123" s="8"/>
      <c r="C123" s="8"/>
      <c r="D123" s="8"/>
      <c r="E123" s="8" t="s">
        <v>129</v>
      </c>
      <c r="F123" s="15" t="s">
        <v>732</v>
      </c>
      <c r="G123" s="14" t="s">
        <v>733</v>
      </c>
      <c r="H123" s="15">
        <v>1</v>
      </c>
      <c r="K123" s="16">
        <v>15</v>
      </c>
      <c r="L123" s="12">
        <v>0.01</v>
      </c>
      <c r="M123" s="11">
        <f t="shared" si="1"/>
        <v>15</v>
      </c>
      <c r="N123" s="8" t="s">
        <v>519</v>
      </c>
    </row>
    <row r="124" ht="15" spans="1:14">
      <c r="A124" s="8">
        <v>122</v>
      </c>
      <c r="B124" s="8"/>
      <c r="C124" s="8"/>
      <c r="D124" s="8"/>
      <c r="E124" s="8" t="s">
        <v>129</v>
      </c>
      <c r="F124" s="15" t="s">
        <v>734</v>
      </c>
      <c r="G124" s="14" t="s">
        <v>735</v>
      </c>
      <c r="H124" s="15">
        <v>1</v>
      </c>
      <c r="K124" s="16">
        <v>19.5</v>
      </c>
      <c r="L124" s="12">
        <v>0.01</v>
      </c>
      <c r="M124" s="11">
        <f t="shared" si="1"/>
        <v>19.5</v>
      </c>
      <c r="N124" s="8" t="s">
        <v>519</v>
      </c>
    </row>
    <row r="125" ht="15" spans="1:14">
      <c r="A125" s="8">
        <v>123</v>
      </c>
      <c r="B125" s="8"/>
      <c r="C125" s="8"/>
      <c r="D125" s="8"/>
      <c r="E125" s="8" t="s">
        <v>129</v>
      </c>
      <c r="F125" s="15" t="s">
        <v>736</v>
      </c>
      <c r="G125" s="14" t="s">
        <v>737</v>
      </c>
      <c r="H125" s="15">
        <v>1</v>
      </c>
      <c r="K125" s="16">
        <v>26</v>
      </c>
      <c r="L125" s="12">
        <v>0.01</v>
      </c>
      <c r="M125" s="11">
        <f t="shared" si="1"/>
        <v>26</v>
      </c>
      <c r="N125" s="8" t="s">
        <v>519</v>
      </c>
    </row>
    <row r="126" ht="15" spans="1:14">
      <c r="A126" s="8">
        <v>124</v>
      </c>
      <c r="B126" s="8"/>
      <c r="C126" s="8"/>
      <c r="D126" s="8"/>
      <c r="E126" s="8" t="s">
        <v>129</v>
      </c>
      <c r="F126" s="15" t="s">
        <v>738</v>
      </c>
      <c r="G126" s="14" t="s">
        <v>739</v>
      </c>
      <c r="H126" s="15">
        <v>1</v>
      </c>
      <c r="K126" s="16">
        <v>100</v>
      </c>
      <c r="L126" s="12">
        <v>0.01</v>
      </c>
      <c r="M126" s="11">
        <f t="shared" si="1"/>
        <v>100</v>
      </c>
      <c r="N126" s="8" t="s">
        <v>519</v>
      </c>
    </row>
    <row r="127" ht="15" spans="1:14">
      <c r="A127" s="8">
        <v>125</v>
      </c>
      <c r="B127" s="8"/>
      <c r="C127" s="8"/>
      <c r="D127" s="8"/>
      <c r="E127" s="8" t="s">
        <v>129</v>
      </c>
      <c r="F127" s="15" t="s">
        <v>740</v>
      </c>
      <c r="G127" s="14" t="s">
        <v>741</v>
      </c>
      <c r="H127" s="15">
        <v>5</v>
      </c>
      <c r="K127" s="16">
        <v>9</v>
      </c>
      <c r="L127" s="12">
        <v>0.01</v>
      </c>
      <c r="M127" s="11">
        <f t="shared" si="1"/>
        <v>45</v>
      </c>
      <c r="N127" s="8" t="s">
        <v>519</v>
      </c>
    </row>
    <row r="128" ht="15" spans="1:14">
      <c r="A128" s="8">
        <v>126</v>
      </c>
      <c r="B128" s="8"/>
      <c r="C128" s="8"/>
      <c r="D128" s="8"/>
      <c r="E128" s="8" t="s">
        <v>129</v>
      </c>
      <c r="F128" s="15" t="s">
        <v>742</v>
      </c>
      <c r="G128" s="14" t="s">
        <v>743</v>
      </c>
      <c r="H128" s="15">
        <v>1</v>
      </c>
      <c r="K128" s="16">
        <v>3720</v>
      </c>
      <c r="L128" s="12">
        <v>0.01</v>
      </c>
      <c r="M128" s="11">
        <f t="shared" si="1"/>
        <v>3720</v>
      </c>
      <c r="N128" s="8" t="s">
        <v>519</v>
      </c>
    </row>
    <row r="129" ht="15" spans="1:14">
      <c r="A129" s="8">
        <v>127</v>
      </c>
      <c r="B129" s="8"/>
      <c r="C129" s="8"/>
      <c r="D129" s="8"/>
      <c r="E129" s="8" t="s">
        <v>129</v>
      </c>
      <c r="F129" s="15" t="s">
        <v>744</v>
      </c>
      <c r="G129" s="14" t="s">
        <v>745</v>
      </c>
      <c r="H129" s="15">
        <v>4</v>
      </c>
      <c r="K129" s="16">
        <v>17.5</v>
      </c>
      <c r="L129" s="12">
        <v>0.01</v>
      </c>
      <c r="M129" s="11">
        <f t="shared" si="1"/>
        <v>70</v>
      </c>
      <c r="N129" s="8" t="s">
        <v>519</v>
      </c>
    </row>
    <row r="130" ht="15" spans="1:14">
      <c r="A130" s="8">
        <v>128</v>
      </c>
      <c r="B130" s="8"/>
      <c r="C130" s="8"/>
      <c r="D130" s="8"/>
      <c r="E130" s="8" t="s">
        <v>129</v>
      </c>
      <c r="F130" s="15" t="s">
        <v>744</v>
      </c>
      <c r="G130" s="14" t="s">
        <v>746</v>
      </c>
      <c r="H130" s="15">
        <v>14</v>
      </c>
      <c r="K130" s="16">
        <v>10.6</v>
      </c>
      <c r="L130" s="12">
        <v>0.01</v>
      </c>
      <c r="M130" s="11">
        <f t="shared" si="1"/>
        <v>148.4</v>
      </c>
      <c r="N130" s="8" t="s">
        <v>519</v>
      </c>
    </row>
    <row r="131" ht="15" spans="1:14">
      <c r="A131" s="8">
        <v>129</v>
      </c>
      <c r="B131" s="8"/>
      <c r="C131" s="8"/>
      <c r="D131" s="8"/>
      <c r="E131" s="8" t="s">
        <v>129</v>
      </c>
      <c r="F131" s="15" t="s">
        <v>744</v>
      </c>
      <c r="G131" s="14" t="s">
        <v>747</v>
      </c>
      <c r="H131" s="15">
        <v>8</v>
      </c>
      <c r="K131" s="16">
        <v>9.8</v>
      </c>
      <c r="L131" s="12">
        <v>0.01</v>
      </c>
      <c r="M131" s="11">
        <f t="shared" si="1"/>
        <v>78.4</v>
      </c>
      <c r="N131" s="8" t="s">
        <v>519</v>
      </c>
    </row>
    <row r="132" ht="15" spans="1:14">
      <c r="A132" s="8">
        <v>130</v>
      </c>
      <c r="B132" s="8"/>
      <c r="C132" s="8"/>
      <c r="D132" s="8"/>
      <c r="E132" s="8" t="s">
        <v>129</v>
      </c>
      <c r="F132" s="15" t="s">
        <v>748</v>
      </c>
      <c r="G132" s="14"/>
      <c r="H132" s="15">
        <v>88</v>
      </c>
      <c r="K132" s="16">
        <v>0.9</v>
      </c>
      <c r="L132" s="12">
        <v>0.01</v>
      </c>
      <c r="M132" s="11">
        <f t="shared" ref="M132:M195" si="2">H132*K132</f>
        <v>79.2</v>
      </c>
      <c r="N132" s="8" t="s">
        <v>519</v>
      </c>
    </row>
    <row r="133" ht="15" spans="1:14">
      <c r="A133" s="8">
        <v>131</v>
      </c>
      <c r="B133" s="8"/>
      <c r="C133" s="8"/>
      <c r="D133" s="8"/>
      <c r="E133" s="8" t="s">
        <v>129</v>
      </c>
      <c r="F133" s="15" t="s">
        <v>749</v>
      </c>
      <c r="G133" s="14" t="s">
        <v>750</v>
      </c>
      <c r="H133" s="15">
        <v>1</v>
      </c>
      <c r="K133" s="16">
        <v>110</v>
      </c>
      <c r="L133" s="12">
        <v>0.01</v>
      </c>
      <c r="M133" s="11">
        <f t="shared" si="2"/>
        <v>110</v>
      </c>
      <c r="N133" s="8" t="s">
        <v>519</v>
      </c>
    </row>
    <row r="134" ht="15" spans="1:14">
      <c r="A134" s="8">
        <v>132</v>
      </c>
      <c r="B134" s="8"/>
      <c r="C134" s="8"/>
      <c r="D134" s="8"/>
      <c r="E134" s="8" t="s">
        <v>129</v>
      </c>
      <c r="F134" s="15" t="s">
        <v>751</v>
      </c>
      <c r="G134" s="14"/>
      <c r="H134" s="15">
        <v>1</v>
      </c>
      <c r="K134" s="16">
        <v>35</v>
      </c>
      <c r="L134" s="12">
        <v>0.01</v>
      </c>
      <c r="M134" s="11">
        <f t="shared" si="2"/>
        <v>35</v>
      </c>
      <c r="N134" s="8" t="s">
        <v>519</v>
      </c>
    </row>
    <row r="135" ht="15" spans="1:14">
      <c r="A135" s="8">
        <v>133</v>
      </c>
      <c r="B135" s="8"/>
      <c r="C135" s="8"/>
      <c r="D135" s="8"/>
      <c r="E135" s="8" t="s">
        <v>129</v>
      </c>
      <c r="F135" s="15" t="s">
        <v>752</v>
      </c>
      <c r="G135" s="14" t="s">
        <v>753</v>
      </c>
      <c r="H135" s="15">
        <v>1</v>
      </c>
      <c r="K135" s="16">
        <v>720</v>
      </c>
      <c r="L135" s="12">
        <v>0.01</v>
      </c>
      <c r="M135" s="11">
        <f t="shared" si="2"/>
        <v>720</v>
      </c>
      <c r="N135" s="8" t="s">
        <v>519</v>
      </c>
    </row>
    <row r="136" ht="15" spans="1:14">
      <c r="A136" s="8">
        <v>134</v>
      </c>
      <c r="B136" s="8"/>
      <c r="C136" s="8"/>
      <c r="D136" s="8"/>
      <c r="E136" s="8" t="s">
        <v>129</v>
      </c>
      <c r="F136" s="15" t="s">
        <v>754</v>
      </c>
      <c r="G136" s="14" t="s">
        <v>755</v>
      </c>
      <c r="H136" s="15">
        <v>2</v>
      </c>
      <c r="K136" s="16">
        <v>55</v>
      </c>
      <c r="L136" s="12">
        <v>0.01</v>
      </c>
      <c r="M136" s="11">
        <f t="shared" si="2"/>
        <v>110</v>
      </c>
      <c r="N136" s="8" t="s">
        <v>519</v>
      </c>
    </row>
    <row r="137" ht="15" spans="1:14">
      <c r="A137" s="8">
        <v>135</v>
      </c>
      <c r="B137" s="8"/>
      <c r="C137" s="8"/>
      <c r="D137" s="8"/>
      <c r="E137" s="8" t="s">
        <v>129</v>
      </c>
      <c r="F137" s="15" t="s">
        <v>756</v>
      </c>
      <c r="G137" s="14" t="s">
        <v>757</v>
      </c>
      <c r="H137" s="15">
        <v>1</v>
      </c>
      <c r="I137" s="8"/>
      <c r="J137" s="8"/>
      <c r="K137" s="16">
        <v>26.5</v>
      </c>
      <c r="L137" s="12">
        <v>0.01</v>
      </c>
      <c r="M137" s="11">
        <f t="shared" si="2"/>
        <v>26.5</v>
      </c>
      <c r="N137" s="8" t="s">
        <v>519</v>
      </c>
    </row>
    <row r="138" ht="15" spans="1:14">
      <c r="A138" s="8">
        <v>136</v>
      </c>
      <c r="B138" s="8"/>
      <c r="C138" s="8"/>
      <c r="D138" s="8"/>
      <c r="E138" s="8" t="s">
        <v>129</v>
      </c>
      <c r="F138" s="15" t="s">
        <v>758</v>
      </c>
      <c r="G138" s="14" t="s">
        <v>757</v>
      </c>
      <c r="H138" s="15">
        <v>1</v>
      </c>
      <c r="I138" s="8"/>
      <c r="J138" s="8"/>
      <c r="K138" s="16">
        <v>20.5</v>
      </c>
      <c r="L138" s="12">
        <v>0.01</v>
      </c>
      <c r="M138" s="11">
        <f t="shared" si="2"/>
        <v>20.5</v>
      </c>
      <c r="N138" s="8" t="s">
        <v>519</v>
      </c>
    </row>
    <row r="139" ht="15" spans="1:14">
      <c r="A139" s="8">
        <v>137</v>
      </c>
      <c r="B139" s="8"/>
      <c r="C139" s="8"/>
      <c r="D139" s="8"/>
      <c r="E139" s="8" t="s">
        <v>129</v>
      </c>
      <c r="F139" s="15" t="s">
        <v>759</v>
      </c>
      <c r="G139" s="14" t="s">
        <v>760</v>
      </c>
      <c r="H139" s="15">
        <v>30</v>
      </c>
      <c r="I139" s="8"/>
      <c r="J139" s="8"/>
      <c r="K139" s="16">
        <v>2.7</v>
      </c>
      <c r="L139" s="12">
        <v>0.01</v>
      </c>
      <c r="M139" s="11">
        <f t="shared" si="2"/>
        <v>81</v>
      </c>
      <c r="N139" s="8" t="s">
        <v>519</v>
      </c>
    </row>
    <row r="140" ht="15" spans="1:14">
      <c r="A140" s="8">
        <v>138</v>
      </c>
      <c r="B140" s="8"/>
      <c r="C140" s="8"/>
      <c r="D140" s="8"/>
      <c r="E140" s="8" t="s">
        <v>129</v>
      </c>
      <c r="F140" s="15" t="s">
        <v>761</v>
      </c>
      <c r="G140" s="14" t="s">
        <v>762</v>
      </c>
      <c r="H140" s="15">
        <v>12</v>
      </c>
      <c r="I140" s="8"/>
      <c r="J140" s="8"/>
      <c r="K140" s="16">
        <v>48</v>
      </c>
      <c r="L140" s="12">
        <v>0.01</v>
      </c>
      <c r="M140" s="11">
        <f t="shared" si="2"/>
        <v>576</v>
      </c>
      <c r="N140" s="8" t="s">
        <v>519</v>
      </c>
    </row>
    <row r="141" ht="15" spans="1:14">
      <c r="A141" s="8">
        <v>139</v>
      </c>
      <c r="B141" s="8"/>
      <c r="C141" s="8"/>
      <c r="D141" s="8"/>
      <c r="E141" s="8" t="s">
        <v>129</v>
      </c>
      <c r="F141" s="15" t="s">
        <v>651</v>
      </c>
      <c r="G141" s="14" t="s">
        <v>763</v>
      </c>
      <c r="H141" s="15">
        <v>1</v>
      </c>
      <c r="I141" s="8"/>
      <c r="J141" s="8"/>
      <c r="K141" s="16">
        <v>449</v>
      </c>
      <c r="L141" s="12">
        <v>0.01</v>
      </c>
      <c r="M141" s="11">
        <f t="shared" si="2"/>
        <v>449</v>
      </c>
      <c r="N141" s="8" t="s">
        <v>519</v>
      </c>
    </row>
    <row r="142" ht="15" spans="1:14">
      <c r="A142" s="8">
        <v>140</v>
      </c>
      <c r="B142" s="8"/>
      <c r="C142" s="8"/>
      <c r="D142" s="8"/>
      <c r="E142" s="8" t="s">
        <v>129</v>
      </c>
      <c r="F142" s="15" t="s">
        <v>764</v>
      </c>
      <c r="G142" s="14" t="s">
        <v>765</v>
      </c>
      <c r="H142" s="15">
        <v>50</v>
      </c>
      <c r="I142" s="8"/>
      <c r="J142" s="8"/>
      <c r="K142" s="16">
        <v>2.7</v>
      </c>
      <c r="L142" s="12">
        <v>0.01</v>
      </c>
      <c r="M142" s="11">
        <f t="shared" si="2"/>
        <v>135</v>
      </c>
      <c r="N142" s="8" t="s">
        <v>519</v>
      </c>
    </row>
    <row r="143" ht="15" spans="1:14">
      <c r="A143" s="8">
        <v>141</v>
      </c>
      <c r="B143" s="8"/>
      <c r="C143" s="8"/>
      <c r="D143" s="8"/>
      <c r="E143" s="8" t="s">
        <v>129</v>
      </c>
      <c r="F143" s="15" t="s">
        <v>766</v>
      </c>
      <c r="G143" s="14" t="s">
        <v>767</v>
      </c>
      <c r="H143" s="15">
        <v>1</v>
      </c>
      <c r="I143" s="8"/>
      <c r="J143" s="8"/>
      <c r="K143" s="16">
        <v>88</v>
      </c>
      <c r="L143" s="12">
        <v>0.01</v>
      </c>
      <c r="M143" s="11">
        <f t="shared" si="2"/>
        <v>88</v>
      </c>
      <c r="N143" s="8" t="s">
        <v>519</v>
      </c>
    </row>
    <row r="144" ht="15" spans="1:14">
      <c r="A144" s="8">
        <v>142</v>
      </c>
      <c r="B144" s="8"/>
      <c r="C144" s="8"/>
      <c r="D144" s="8"/>
      <c r="E144" s="8" t="s">
        <v>129</v>
      </c>
      <c r="F144" s="15" t="s">
        <v>768</v>
      </c>
      <c r="G144" s="14" t="s">
        <v>769</v>
      </c>
      <c r="H144" s="15">
        <v>1</v>
      </c>
      <c r="I144" s="8"/>
      <c r="J144" s="8"/>
      <c r="K144" s="16">
        <v>20</v>
      </c>
      <c r="L144" s="12">
        <v>0.01</v>
      </c>
      <c r="M144" s="11">
        <f t="shared" si="2"/>
        <v>20</v>
      </c>
      <c r="N144" s="8" t="s">
        <v>519</v>
      </c>
    </row>
    <row r="145" ht="15" spans="1:14">
      <c r="A145" s="8">
        <v>143</v>
      </c>
      <c r="B145" s="8"/>
      <c r="C145" s="8"/>
      <c r="D145" s="8"/>
      <c r="E145" s="8" t="s">
        <v>129</v>
      </c>
      <c r="F145" s="15" t="s">
        <v>770</v>
      </c>
      <c r="G145" s="14" t="s">
        <v>771</v>
      </c>
      <c r="H145" s="15">
        <v>1</v>
      </c>
      <c r="I145" s="8"/>
      <c r="J145" s="8"/>
      <c r="K145" s="16">
        <v>15</v>
      </c>
      <c r="L145" s="12">
        <v>0.01</v>
      </c>
      <c r="M145" s="11">
        <f t="shared" si="2"/>
        <v>15</v>
      </c>
      <c r="N145" s="8" t="s">
        <v>519</v>
      </c>
    </row>
    <row r="146" ht="15" spans="1:14">
      <c r="A146" s="8">
        <v>144</v>
      </c>
      <c r="B146" s="8"/>
      <c r="C146" s="8"/>
      <c r="D146" s="8"/>
      <c r="E146" s="8" t="s">
        <v>129</v>
      </c>
      <c r="F146" s="15" t="s">
        <v>772</v>
      </c>
      <c r="G146" s="14" t="s">
        <v>773</v>
      </c>
      <c r="H146" s="15">
        <v>1</v>
      </c>
      <c r="I146" s="8"/>
      <c r="J146" s="8"/>
      <c r="K146" s="16">
        <v>268</v>
      </c>
      <c r="L146" s="12">
        <v>0.01</v>
      </c>
      <c r="M146" s="11">
        <f t="shared" si="2"/>
        <v>268</v>
      </c>
      <c r="N146" s="8" t="s">
        <v>519</v>
      </c>
    </row>
    <row r="147" ht="15" spans="1:14">
      <c r="A147" s="8">
        <v>145</v>
      </c>
      <c r="B147" s="8"/>
      <c r="C147" s="8"/>
      <c r="D147" s="8"/>
      <c r="E147" s="8" t="s">
        <v>129</v>
      </c>
      <c r="F147" s="15" t="s">
        <v>774</v>
      </c>
      <c r="G147" s="14" t="s">
        <v>775</v>
      </c>
      <c r="H147" s="15">
        <v>3</v>
      </c>
      <c r="I147" s="8"/>
      <c r="J147" s="8"/>
      <c r="K147" s="16">
        <v>10</v>
      </c>
      <c r="L147" s="12">
        <v>0.01</v>
      </c>
      <c r="M147" s="11">
        <f t="shared" si="2"/>
        <v>30</v>
      </c>
      <c r="N147" s="8" t="s">
        <v>519</v>
      </c>
    </row>
    <row r="148" ht="15" spans="1:14">
      <c r="A148" s="8">
        <v>146</v>
      </c>
      <c r="B148" s="8"/>
      <c r="C148" s="8"/>
      <c r="D148" s="8"/>
      <c r="E148" s="8" t="s">
        <v>129</v>
      </c>
      <c r="F148" s="15" t="s">
        <v>776</v>
      </c>
      <c r="G148" s="14" t="s">
        <v>777</v>
      </c>
      <c r="H148" s="15">
        <v>1</v>
      </c>
      <c r="I148" s="8"/>
      <c r="J148" s="8"/>
      <c r="K148" s="16">
        <v>50</v>
      </c>
      <c r="L148" s="12">
        <v>0.01</v>
      </c>
      <c r="M148" s="11">
        <f t="shared" si="2"/>
        <v>50</v>
      </c>
      <c r="N148" s="8" t="s">
        <v>519</v>
      </c>
    </row>
    <row r="149" ht="15" spans="1:14">
      <c r="A149" s="8">
        <v>147</v>
      </c>
      <c r="B149" s="8"/>
      <c r="C149" s="8"/>
      <c r="D149" s="8"/>
      <c r="E149" s="8" t="s">
        <v>129</v>
      </c>
      <c r="F149" s="15" t="s">
        <v>778</v>
      </c>
      <c r="G149" s="14"/>
      <c r="H149" s="15">
        <v>7</v>
      </c>
      <c r="I149" s="8"/>
      <c r="J149" s="8"/>
      <c r="K149" s="16">
        <v>8</v>
      </c>
      <c r="L149" s="12">
        <v>0.01</v>
      </c>
      <c r="M149" s="11">
        <f t="shared" si="2"/>
        <v>56</v>
      </c>
      <c r="N149" s="8" t="s">
        <v>519</v>
      </c>
    </row>
    <row r="150" ht="15" spans="1:14">
      <c r="A150" s="8">
        <v>148</v>
      </c>
      <c r="B150" s="8"/>
      <c r="C150" s="8"/>
      <c r="D150" s="8"/>
      <c r="E150" s="8" t="s">
        <v>129</v>
      </c>
      <c r="F150" s="15" t="s">
        <v>779</v>
      </c>
      <c r="G150" s="14" t="s">
        <v>780</v>
      </c>
      <c r="H150" s="15">
        <v>1</v>
      </c>
      <c r="I150" s="8"/>
      <c r="J150" s="8"/>
      <c r="K150" s="16">
        <v>6.5</v>
      </c>
      <c r="L150" s="12">
        <v>0.01</v>
      </c>
      <c r="M150" s="11">
        <f t="shared" si="2"/>
        <v>6.5</v>
      </c>
      <c r="N150" s="8" t="s">
        <v>519</v>
      </c>
    </row>
    <row r="151" ht="15" spans="1:14">
      <c r="A151" s="8">
        <v>149</v>
      </c>
      <c r="B151" s="8"/>
      <c r="C151" s="8"/>
      <c r="D151" s="8"/>
      <c r="E151" s="8" t="s">
        <v>129</v>
      </c>
      <c r="F151" s="15" t="s">
        <v>781</v>
      </c>
      <c r="G151" s="14" t="s">
        <v>782</v>
      </c>
      <c r="H151" s="20">
        <v>1</v>
      </c>
      <c r="I151" s="8"/>
      <c r="J151" s="8"/>
      <c r="K151" s="16">
        <v>12</v>
      </c>
      <c r="L151" s="12">
        <v>0.01</v>
      </c>
      <c r="M151" s="11">
        <f t="shared" si="2"/>
        <v>12</v>
      </c>
      <c r="N151" s="8" t="s">
        <v>519</v>
      </c>
    </row>
    <row r="152" ht="30" spans="1:14">
      <c r="A152" s="8">
        <v>150</v>
      </c>
      <c r="B152" s="8"/>
      <c r="C152" s="8"/>
      <c r="D152" s="8"/>
      <c r="E152" s="8" t="s">
        <v>129</v>
      </c>
      <c r="F152" s="15" t="s">
        <v>783</v>
      </c>
      <c r="G152" s="14" t="s">
        <v>784</v>
      </c>
      <c r="H152" s="15">
        <v>10</v>
      </c>
      <c r="I152" s="8"/>
      <c r="J152" s="8"/>
      <c r="K152" s="16">
        <v>14.5</v>
      </c>
      <c r="L152" s="12">
        <v>0.01</v>
      </c>
      <c r="M152" s="11">
        <f t="shared" si="2"/>
        <v>145</v>
      </c>
      <c r="N152" s="8" t="s">
        <v>519</v>
      </c>
    </row>
    <row r="153" ht="15" spans="1:14">
      <c r="A153" s="8">
        <v>151</v>
      </c>
      <c r="B153" s="8"/>
      <c r="C153" s="8"/>
      <c r="D153" s="8"/>
      <c r="E153" s="8" t="s">
        <v>129</v>
      </c>
      <c r="F153" s="15" t="s">
        <v>785</v>
      </c>
      <c r="G153" s="14" t="s">
        <v>786</v>
      </c>
      <c r="H153" s="15">
        <v>1</v>
      </c>
      <c r="I153" s="8"/>
      <c r="J153" s="8"/>
      <c r="K153" s="16">
        <v>12.5</v>
      </c>
      <c r="L153" s="12">
        <v>0.01</v>
      </c>
      <c r="M153" s="11">
        <f t="shared" si="2"/>
        <v>12.5</v>
      </c>
      <c r="N153" s="8" t="s">
        <v>519</v>
      </c>
    </row>
    <row r="154" ht="15" spans="1:14">
      <c r="A154" s="8">
        <v>152</v>
      </c>
      <c r="B154" s="8"/>
      <c r="C154" s="8"/>
      <c r="D154" s="8"/>
      <c r="E154" s="8" t="s">
        <v>129</v>
      </c>
      <c r="F154" s="15" t="s">
        <v>787</v>
      </c>
      <c r="G154" s="14" t="s">
        <v>788</v>
      </c>
      <c r="H154" s="15">
        <v>1</v>
      </c>
      <c r="I154" s="8"/>
      <c r="J154" s="8"/>
      <c r="K154" s="16">
        <v>21</v>
      </c>
      <c r="L154" s="12">
        <v>0.01</v>
      </c>
      <c r="M154" s="11">
        <f t="shared" si="2"/>
        <v>21</v>
      </c>
      <c r="N154" s="8" t="s">
        <v>519</v>
      </c>
    </row>
    <row r="155" ht="15" spans="1:14">
      <c r="A155" s="8">
        <v>153</v>
      </c>
      <c r="B155" s="8"/>
      <c r="C155" s="8"/>
      <c r="D155" s="8"/>
      <c r="E155" s="8" t="s">
        <v>129</v>
      </c>
      <c r="F155" s="15" t="s">
        <v>789</v>
      </c>
      <c r="G155" s="14" t="s">
        <v>790</v>
      </c>
      <c r="H155" s="15">
        <v>1</v>
      </c>
      <c r="I155" s="8"/>
      <c r="J155" s="8"/>
      <c r="K155" s="16">
        <v>550</v>
      </c>
      <c r="L155" s="12">
        <v>0.01</v>
      </c>
      <c r="M155" s="11">
        <f t="shared" si="2"/>
        <v>550</v>
      </c>
      <c r="N155" s="8" t="s">
        <v>519</v>
      </c>
    </row>
    <row r="156" ht="15" spans="1:14">
      <c r="A156" s="8">
        <v>154</v>
      </c>
      <c r="B156" s="8"/>
      <c r="C156" s="8"/>
      <c r="D156" s="8"/>
      <c r="E156" s="8" t="s">
        <v>129</v>
      </c>
      <c r="F156" s="15" t="s">
        <v>609</v>
      </c>
      <c r="G156" s="14" t="s">
        <v>791</v>
      </c>
      <c r="H156" s="15">
        <v>1</v>
      </c>
      <c r="I156" s="8"/>
      <c r="J156" s="8"/>
      <c r="K156" s="16">
        <v>320</v>
      </c>
      <c r="L156" s="12">
        <v>0.01</v>
      </c>
      <c r="M156" s="11">
        <f t="shared" si="2"/>
        <v>320</v>
      </c>
      <c r="N156" s="8" t="s">
        <v>519</v>
      </c>
    </row>
    <row r="157" ht="15" spans="1:14">
      <c r="A157" s="8">
        <v>155</v>
      </c>
      <c r="B157" s="8"/>
      <c r="C157" s="8"/>
      <c r="D157" s="8"/>
      <c r="E157" s="8" t="s">
        <v>129</v>
      </c>
      <c r="F157" s="15" t="s">
        <v>792</v>
      </c>
      <c r="G157" s="14" t="s">
        <v>793</v>
      </c>
      <c r="H157" s="15">
        <v>1</v>
      </c>
      <c r="I157" s="8"/>
      <c r="J157" s="8"/>
      <c r="K157" s="16">
        <v>7</v>
      </c>
      <c r="L157" s="12">
        <v>0.01</v>
      </c>
      <c r="M157" s="11">
        <f t="shared" si="2"/>
        <v>7</v>
      </c>
      <c r="N157" s="8" t="s">
        <v>519</v>
      </c>
    </row>
    <row r="158" ht="15" spans="1:14">
      <c r="A158" s="8">
        <v>156</v>
      </c>
      <c r="B158" s="8"/>
      <c r="C158" s="8"/>
      <c r="D158" s="8"/>
      <c r="E158" s="8" t="s">
        <v>129</v>
      </c>
      <c r="F158" s="15" t="s">
        <v>794</v>
      </c>
      <c r="G158" s="14" t="s">
        <v>795</v>
      </c>
      <c r="H158" s="15">
        <v>30</v>
      </c>
      <c r="I158" s="8"/>
      <c r="J158" s="8"/>
      <c r="K158" s="16">
        <v>1.5</v>
      </c>
      <c r="L158" s="12">
        <v>0.01</v>
      </c>
      <c r="M158" s="11">
        <f t="shared" si="2"/>
        <v>45</v>
      </c>
      <c r="N158" s="8" t="s">
        <v>519</v>
      </c>
    </row>
    <row r="159" ht="15" spans="1:14">
      <c r="A159" s="8">
        <v>157</v>
      </c>
      <c r="B159" s="8"/>
      <c r="C159" s="8"/>
      <c r="D159" s="8"/>
      <c r="E159" s="8" t="s">
        <v>129</v>
      </c>
      <c r="F159" s="15" t="s">
        <v>517</v>
      </c>
      <c r="G159" s="14" t="s">
        <v>796</v>
      </c>
      <c r="H159" s="15">
        <v>1</v>
      </c>
      <c r="I159" s="8"/>
      <c r="J159" s="8"/>
      <c r="K159" s="16">
        <v>6500</v>
      </c>
      <c r="L159" s="12">
        <v>0.01</v>
      </c>
      <c r="M159" s="11">
        <f t="shared" si="2"/>
        <v>6500</v>
      </c>
      <c r="N159" s="8" t="s">
        <v>519</v>
      </c>
    </row>
    <row r="160" ht="15" spans="1:14">
      <c r="A160" s="8">
        <v>158</v>
      </c>
      <c r="B160" s="8"/>
      <c r="C160" s="8"/>
      <c r="D160" s="8"/>
      <c r="E160" s="8" t="s">
        <v>129</v>
      </c>
      <c r="F160" s="15" t="s">
        <v>602</v>
      </c>
      <c r="G160" s="14" t="s">
        <v>797</v>
      </c>
      <c r="H160" s="15">
        <v>1</v>
      </c>
      <c r="I160" s="8"/>
      <c r="J160" s="8"/>
      <c r="K160" s="16">
        <v>24</v>
      </c>
      <c r="L160" s="12">
        <v>0.01</v>
      </c>
      <c r="M160" s="11">
        <f t="shared" si="2"/>
        <v>24</v>
      </c>
      <c r="N160" s="8" t="s">
        <v>519</v>
      </c>
    </row>
    <row r="161" ht="15" spans="1:14">
      <c r="A161" s="8">
        <v>159</v>
      </c>
      <c r="B161" s="8"/>
      <c r="C161" s="8"/>
      <c r="D161" s="8"/>
      <c r="E161" s="8" t="s">
        <v>129</v>
      </c>
      <c r="F161" s="15" t="s">
        <v>756</v>
      </c>
      <c r="G161" s="14" t="s">
        <v>798</v>
      </c>
      <c r="H161" s="15">
        <v>5</v>
      </c>
      <c r="I161" s="8"/>
      <c r="J161" s="8"/>
      <c r="K161" s="16">
        <v>26.5</v>
      </c>
      <c r="L161" s="12">
        <v>0.01</v>
      </c>
      <c r="M161" s="11">
        <f t="shared" si="2"/>
        <v>132.5</v>
      </c>
      <c r="N161" s="8" t="s">
        <v>519</v>
      </c>
    </row>
    <row r="162" ht="15" spans="1:14">
      <c r="A162" s="8">
        <v>160</v>
      </c>
      <c r="B162" s="8"/>
      <c r="C162" s="8"/>
      <c r="D162" s="8"/>
      <c r="E162" s="8" t="s">
        <v>129</v>
      </c>
      <c r="F162" s="15" t="s">
        <v>799</v>
      </c>
      <c r="G162" s="14" t="s">
        <v>800</v>
      </c>
      <c r="H162" s="15">
        <v>1</v>
      </c>
      <c r="I162" s="8"/>
      <c r="J162" s="8"/>
      <c r="K162" s="16">
        <v>19</v>
      </c>
      <c r="L162" s="12">
        <v>0.01</v>
      </c>
      <c r="M162" s="11">
        <f t="shared" si="2"/>
        <v>19</v>
      </c>
      <c r="N162" s="8" t="s">
        <v>519</v>
      </c>
    </row>
    <row r="163" ht="15" spans="1:14">
      <c r="A163" s="8">
        <v>161</v>
      </c>
      <c r="B163" s="8"/>
      <c r="C163" s="8"/>
      <c r="D163" s="8"/>
      <c r="E163" s="8" t="s">
        <v>129</v>
      </c>
      <c r="F163" s="15" t="s">
        <v>801</v>
      </c>
      <c r="G163" s="14" t="s">
        <v>802</v>
      </c>
      <c r="H163" s="15">
        <v>1</v>
      </c>
      <c r="I163" s="8"/>
      <c r="J163" s="8"/>
      <c r="K163" s="16">
        <v>10</v>
      </c>
      <c r="L163" s="12">
        <v>0.01</v>
      </c>
      <c r="M163" s="11">
        <f t="shared" si="2"/>
        <v>10</v>
      </c>
      <c r="N163" s="8" t="s">
        <v>519</v>
      </c>
    </row>
    <row r="164" ht="15" spans="1:14">
      <c r="A164" s="8">
        <v>162</v>
      </c>
      <c r="B164" s="8"/>
      <c r="C164" s="8"/>
      <c r="D164" s="8"/>
      <c r="E164" s="8" t="s">
        <v>129</v>
      </c>
      <c r="F164" s="15" t="s">
        <v>638</v>
      </c>
      <c r="G164" s="14" t="s">
        <v>803</v>
      </c>
      <c r="H164" s="15">
        <v>5</v>
      </c>
      <c r="I164" s="8"/>
      <c r="J164" s="8"/>
      <c r="K164" s="16">
        <v>0</v>
      </c>
      <c r="L164" s="12">
        <v>0.01</v>
      </c>
      <c r="M164" s="11">
        <f t="shared" si="2"/>
        <v>0</v>
      </c>
      <c r="N164" s="8" t="s">
        <v>519</v>
      </c>
    </row>
    <row r="165" ht="15" spans="1:14">
      <c r="A165" s="8">
        <v>163</v>
      </c>
      <c r="B165" s="8"/>
      <c r="C165" s="8"/>
      <c r="D165" s="8"/>
      <c r="E165" s="8" t="s">
        <v>129</v>
      </c>
      <c r="F165" s="15" t="s">
        <v>804</v>
      </c>
      <c r="G165" s="14" t="s">
        <v>805</v>
      </c>
      <c r="H165" s="15">
        <v>2</v>
      </c>
      <c r="I165" s="8"/>
      <c r="J165" s="8"/>
      <c r="K165" s="16">
        <v>19</v>
      </c>
      <c r="L165" s="12">
        <v>0.01</v>
      </c>
      <c r="M165" s="11">
        <f t="shared" si="2"/>
        <v>38</v>
      </c>
      <c r="N165" s="8" t="s">
        <v>519</v>
      </c>
    </row>
    <row r="166" ht="15" spans="1:14">
      <c r="A166" s="8">
        <v>164</v>
      </c>
      <c r="B166" s="8"/>
      <c r="C166" s="8"/>
      <c r="D166" s="8"/>
      <c r="E166" s="8" t="s">
        <v>129</v>
      </c>
      <c r="F166" s="15" t="s">
        <v>806</v>
      </c>
      <c r="G166" s="14"/>
      <c r="H166" s="15">
        <v>10</v>
      </c>
      <c r="I166" s="8"/>
      <c r="J166" s="8"/>
      <c r="K166" s="16">
        <v>3.85</v>
      </c>
      <c r="L166" s="12">
        <v>0.01</v>
      </c>
      <c r="M166" s="11">
        <f t="shared" si="2"/>
        <v>38.5</v>
      </c>
      <c r="N166" s="8" t="s">
        <v>519</v>
      </c>
    </row>
    <row r="167" ht="15" spans="1:14">
      <c r="A167" s="8">
        <v>165</v>
      </c>
      <c r="B167" s="8"/>
      <c r="C167" s="8"/>
      <c r="D167" s="8"/>
      <c r="E167" s="8" t="s">
        <v>129</v>
      </c>
      <c r="F167" s="15" t="s">
        <v>807</v>
      </c>
      <c r="G167" s="14"/>
      <c r="H167" s="15">
        <v>50</v>
      </c>
      <c r="I167" s="8"/>
      <c r="J167" s="8"/>
      <c r="K167" s="16">
        <v>2.5</v>
      </c>
      <c r="L167" s="12">
        <v>0.01</v>
      </c>
      <c r="M167" s="11">
        <f t="shared" si="2"/>
        <v>125</v>
      </c>
      <c r="N167" s="8" t="s">
        <v>519</v>
      </c>
    </row>
    <row r="168" ht="15" spans="1:14">
      <c r="A168" s="8">
        <v>166</v>
      </c>
      <c r="B168" s="8"/>
      <c r="C168" s="8"/>
      <c r="D168" s="8"/>
      <c r="E168" s="8" t="s">
        <v>129</v>
      </c>
      <c r="F168" s="15" t="s">
        <v>808</v>
      </c>
      <c r="G168" s="14" t="s">
        <v>809</v>
      </c>
      <c r="H168" s="15">
        <v>1</v>
      </c>
      <c r="I168" s="8"/>
      <c r="J168" s="8"/>
      <c r="K168" s="16">
        <v>14</v>
      </c>
      <c r="L168" s="12">
        <v>0.01</v>
      </c>
      <c r="M168" s="11">
        <f t="shared" si="2"/>
        <v>14</v>
      </c>
      <c r="N168" s="8" t="s">
        <v>519</v>
      </c>
    </row>
    <row r="169" ht="15" spans="1:14">
      <c r="A169" s="8">
        <v>167</v>
      </c>
      <c r="B169" s="8"/>
      <c r="C169" s="8"/>
      <c r="D169" s="8"/>
      <c r="E169" s="8" t="s">
        <v>129</v>
      </c>
      <c r="F169" s="15" t="s">
        <v>808</v>
      </c>
      <c r="G169" s="14" t="s">
        <v>810</v>
      </c>
      <c r="H169" s="15">
        <v>1</v>
      </c>
      <c r="I169" s="8"/>
      <c r="J169" s="8"/>
      <c r="K169" s="16">
        <v>15</v>
      </c>
      <c r="L169" s="12">
        <v>0.01</v>
      </c>
      <c r="M169" s="11">
        <f t="shared" si="2"/>
        <v>15</v>
      </c>
      <c r="N169" s="8" t="s">
        <v>519</v>
      </c>
    </row>
    <row r="170" ht="15" spans="1:14">
      <c r="A170" s="8">
        <v>168</v>
      </c>
      <c r="B170" s="8"/>
      <c r="C170" s="8"/>
      <c r="D170" s="8"/>
      <c r="E170" s="8" t="s">
        <v>129</v>
      </c>
      <c r="F170" s="15" t="s">
        <v>811</v>
      </c>
      <c r="G170" s="14"/>
      <c r="H170" s="15">
        <v>4</v>
      </c>
      <c r="I170" s="8"/>
      <c r="J170" s="8"/>
      <c r="K170" s="16">
        <v>11</v>
      </c>
      <c r="L170" s="12">
        <v>0.01</v>
      </c>
      <c r="M170" s="11">
        <f t="shared" si="2"/>
        <v>44</v>
      </c>
      <c r="N170" s="8" t="s">
        <v>519</v>
      </c>
    </row>
    <row r="171" ht="15" spans="1:14">
      <c r="A171" s="8">
        <v>169</v>
      </c>
      <c r="B171" s="8"/>
      <c r="C171" s="8"/>
      <c r="D171" s="8"/>
      <c r="E171" s="8" t="s">
        <v>129</v>
      </c>
      <c r="F171" s="15" t="s">
        <v>812</v>
      </c>
      <c r="G171" s="14" t="s">
        <v>813</v>
      </c>
      <c r="H171" s="15">
        <v>5</v>
      </c>
      <c r="I171" s="8"/>
      <c r="J171" s="8"/>
      <c r="K171" s="16">
        <v>51</v>
      </c>
      <c r="L171" s="12">
        <v>0.01</v>
      </c>
      <c r="M171" s="11">
        <f t="shared" si="2"/>
        <v>255</v>
      </c>
      <c r="N171" s="8" t="s">
        <v>519</v>
      </c>
    </row>
    <row r="172" ht="15" spans="1:14">
      <c r="A172" s="8">
        <v>170</v>
      </c>
      <c r="B172" s="8"/>
      <c r="C172" s="8"/>
      <c r="D172" s="8"/>
      <c r="E172" s="8" t="s">
        <v>129</v>
      </c>
      <c r="F172" s="15" t="s">
        <v>814</v>
      </c>
      <c r="G172" s="14" t="s">
        <v>815</v>
      </c>
      <c r="H172" s="15">
        <v>1</v>
      </c>
      <c r="I172" s="8"/>
      <c r="J172" s="8"/>
      <c r="K172" s="16">
        <v>65</v>
      </c>
      <c r="L172" s="12">
        <v>0.01</v>
      </c>
      <c r="M172" s="11">
        <f t="shared" si="2"/>
        <v>65</v>
      </c>
      <c r="N172" s="8" t="s">
        <v>519</v>
      </c>
    </row>
    <row r="173" ht="15" spans="1:14">
      <c r="A173" s="8">
        <v>171</v>
      </c>
      <c r="B173" s="8"/>
      <c r="C173" s="8"/>
      <c r="D173" s="8"/>
      <c r="E173" s="8" t="s">
        <v>129</v>
      </c>
      <c r="F173" s="15" t="s">
        <v>816</v>
      </c>
      <c r="G173" s="14" t="s">
        <v>817</v>
      </c>
      <c r="H173" s="15">
        <v>3</v>
      </c>
      <c r="I173" s="8"/>
      <c r="J173" s="8"/>
      <c r="K173" s="16">
        <v>25</v>
      </c>
      <c r="L173" s="12">
        <v>0.01</v>
      </c>
      <c r="M173" s="11">
        <f t="shared" si="2"/>
        <v>75</v>
      </c>
      <c r="N173" s="8" t="s">
        <v>519</v>
      </c>
    </row>
    <row r="174" ht="15" spans="1:14">
      <c r="A174" s="8">
        <v>172</v>
      </c>
      <c r="B174" s="8"/>
      <c r="C174" s="8"/>
      <c r="D174" s="8"/>
      <c r="E174" s="8" t="s">
        <v>129</v>
      </c>
      <c r="F174" s="15" t="s">
        <v>818</v>
      </c>
      <c r="G174" s="14" t="s">
        <v>819</v>
      </c>
      <c r="H174" s="15">
        <v>1</v>
      </c>
      <c r="I174" s="8"/>
      <c r="J174" s="8"/>
      <c r="K174" s="16">
        <v>160</v>
      </c>
      <c r="L174" s="12">
        <v>0.01</v>
      </c>
      <c r="M174" s="11">
        <f t="shared" si="2"/>
        <v>160</v>
      </c>
      <c r="N174" s="8" t="s">
        <v>519</v>
      </c>
    </row>
    <row r="175" ht="15" spans="1:14">
      <c r="A175" s="8">
        <v>173</v>
      </c>
      <c r="B175" s="8"/>
      <c r="C175" s="8"/>
      <c r="D175" s="8"/>
      <c r="E175" s="8" t="s">
        <v>129</v>
      </c>
      <c r="F175" s="15" t="s">
        <v>820</v>
      </c>
      <c r="G175" s="14" t="s">
        <v>821</v>
      </c>
      <c r="H175" s="15">
        <v>2</v>
      </c>
      <c r="I175" s="8"/>
      <c r="J175" s="8"/>
      <c r="K175" s="16">
        <v>38.5</v>
      </c>
      <c r="L175" s="12">
        <v>0.01</v>
      </c>
      <c r="M175" s="11">
        <f t="shared" si="2"/>
        <v>77</v>
      </c>
      <c r="N175" s="8" t="s">
        <v>519</v>
      </c>
    </row>
    <row r="176" ht="15" spans="1:14">
      <c r="A176" s="8">
        <v>174</v>
      </c>
      <c r="B176" s="8"/>
      <c r="C176" s="8"/>
      <c r="D176" s="8"/>
      <c r="E176" s="8" t="s">
        <v>129</v>
      </c>
      <c r="F176" s="15" t="s">
        <v>822</v>
      </c>
      <c r="G176" s="14" t="s">
        <v>823</v>
      </c>
      <c r="H176" s="15">
        <v>1</v>
      </c>
      <c r="I176" s="8"/>
      <c r="J176" s="8"/>
      <c r="K176" s="16">
        <v>120</v>
      </c>
      <c r="L176" s="12">
        <v>0.01</v>
      </c>
      <c r="M176" s="11">
        <f t="shared" si="2"/>
        <v>120</v>
      </c>
      <c r="N176" s="8" t="s">
        <v>519</v>
      </c>
    </row>
    <row r="177" ht="15" spans="1:14">
      <c r="A177" s="8">
        <v>175</v>
      </c>
      <c r="B177" s="8"/>
      <c r="C177" s="8"/>
      <c r="D177" s="8"/>
      <c r="E177" s="8" t="s">
        <v>129</v>
      </c>
      <c r="F177" s="15" t="s">
        <v>824</v>
      </c>
      <c r="G177" s="14" t="s">
        <v>825</v>
      </c>
      <c r="H177" s="15">
        <v>1</v>
      </c>
      <c r="I177" s="8"/>
      <c r="J177" s="8"/>
      <c r="K177" s="16">
        <v>66</v>
      </c>
      <c r="L177" s="12">
        <v>0.01</v>
      </c>
      <c r="M177" s="11">
        <f t="shared" si="2"/>
        <v>66</v>
      </c>
      <c r="N177" s="8" t="s">
        <v>519</v>
      </c>
    </row>
    <row r="178" ht="15" spans="1:14">
      <c r="A178" s="8">
        <v>176</v>
      </c>
      <c r="B178" s="8"/>
      <c r="C178" s="8"/>
      <c r="D178" s="8"/>
      <c r="E178" s="8" t="s">
        <v>129</v>
      </c>
      <c r="F178" s="15" t="s">
        <v>826</v>
      </c>
      <c r="G178" s="14"/>
      <c r="H178" s="15">
        <v>1</v>
      </c>
      <c r="I178" s="8"/>
      <c r="J178" s="8"/>
      <c r="K178" s="16">
        <v>35</v>
      </c>
      <c r="L178" s="12">
        <v>0.01</v>
      </c>
      <c r="M178" s="11">
        <f t="shared" si="2"/>
        <v>35</v>
      </c>
      <c r="N178" s="8" t="s">
        <v>519</v>
      </c>
    </row>
    <row r="179" ht="19" spans="1:14">
      <c r="A179" s="8">
        <v>177</v>
      </c>
      <c r="B179" s="8"/>
      <c r="C179" s="8"/>
      <c r="D179" s="8"/>
      <c r="E179" s="8" t="s">
        <v>129</v>
      </c>
      <c r="F179" s="15" t="s">
        <v>521</v>
      </c>
      <c r="G179" s="21" t="s">
        <v>827</v>
      </c>
      <c r="H179" s="15">
        <v>1</v>
      </c>
      <c r="I179" s="8"/>
      <c r="J179" s="8"/>
      <c r="K179" s="16">
        <v>4800</v>
      </c>
      <c r="L179" s="12">
        <v>0.01</v>
      </c>
      <c r="M179" s="11">
        <f t="shared" si="2"/>
        <v>4800</v>
      </c>
      <c r="N179" s="8" t="s">
        <v>519</v>
      </c>
    </row>
    <row r="180" ht="15" spans="1:14">
      <c r="A180" s="8">
        <v>178</v>
      </c>
      <c r="B180" s="8"/>
      <c r="C180" s="8"/>
      <c r="D180" s="8"/>
      <c r="E180" s="8" t="s">
        <v>129</v>
      </c>
      <c r="F180" s="15" t="s">
        <v>828</v>
      </c>
      <c r="G180" s="14" t="s">
        <v>566</v>
      </c>
      <c r="H180" s="15">
        <v>4</v>
      </c>
      <c r="I180" s="8"/>
      <c r="J180" s="8"/>
      <c r="K180" s="16">
        <v>9.5</v>
      </c>
      <c r="L180" s="12">
        <v>0.01</v>
      </c>
      <c r="M180" s="11">
        <f t="shared" si="2"/>
        <v>38</v>
      </c>
      <c r="N180" s="8" t="s">
        <v>519</v>
      </c>
    </row>
    <row r="181" ht="15" spans="1:14">
      <c r="A181" s="8">
        <v>179</v>
      </c>
      <c r="B181" s="8"/>
      <c r="C181" s="8"/>
      <c r="D181" s="8"/>
      <c r="E181" s="8" t="s">
        <v>129</v>
      </c>
      <c r="F181" s="15" t="s">
        <v>829</v>
      </c>
      <c r="G181" s="14" t="s">
        <v>830</v>
      </c>
      <c r="H181" s="15">
        <v>2</v>
      </c>
      <c r="I181" s="8"/>
      <c r="J181" s="8"/>
      <c r="K181" s="16">
        <v>13</v>
      </c>
      <c r="L181" s="12">
        <v>0.01</v>
      </c>
      <c r="M181" s="11">
        <f t="shared" si="2"/>
        <v>26</v>
      </c>
      <c r="N181" s="8" t="s">
        <v>519</v>
      </c>
    </row>
    <row r="182" ht="15" spans="1:14">
      <c r="A182" s="8">
        <v>180</v>
      </c>
      <c r="B182" s="8"/>
      <c r="C182" s="8"/>
      <c r="D182" s="8"/>
      <c r="E182" s="8" t="s">
        <v>129</v>
      </c>
      <c r="F182" s="15" t="s">
        <v>831</v>
      </c>
      <c r="G182" s="14" t="s">
        <v>832</v>
      </c>
      <c r="H182" s="15">
        <v>2</v>
      </c>
      <c r="I182" s="8"/>
      <c r="J182" s="8"/>
      <c r="K182" s="16">
        <v>5.5</v>
      </c>
      <c r="L182" s="12">
        <v>0.01</v>
      </c>
      <c r="M182" s="11">
        <f t="shared" si="2"/>
        <v>11</v>
      </c>
      <c r="N182" s="8" t="s">
        <v>519</v>
      </c>
    </row>
    <row r="183" ht="15" spans="1:14">
      <c r="A183" s="8">
        <v>181</v>
      </c>
      <c r="B183" s="8"/>
      <c r="C183" s="8"/>
      <c r="D183" s="8"/>
      <c r="E183" s="8" t="s">
        <v>129</v>
      </c>
      <c r="F183" s="15" t="s">
        <v>833</v>
      </c>
      <c r="G183" s="14" t="s">
        <v>834</v>
      </c>
      <c r="H183" s="15">
        <v>8</v>
      </c>
      <c r="I183" s="8"/>
      <c r="J183" s="8"/>
      <c r="K183" s="16">
        <v>11.5</v>
      </c>
      <c r="L183" s="12">
        <v>0.01</v>
      </c>
      <c r="M183" s="11">
        <f t="shared" si="2"/>
        <v>92</v>
      </c>
      <c r="N183" s="8" t="s">
        <v>519</v>
      </c>
    </row>
    <row r="184" ht="15" spans="1:14">
      <c r="A184" s="8">
        <v>182</v>
      </c>
      <c r="B184" s="8"/>
      <c r="C184" s="8"/>
      <c r="D184" s="8"/>
      <c r="E184" s="8" t="s">
        <v>129</v>
      </c>
      <c r="F184" s="15" t="s">
        <v>835</v>
      </c>
      <c r="G184" s="14" t="s">
        <v>836</v>
      </c>
      <c r="H184" s="15">
        <v>1</v>
      </c>
      <c r="I184" s="8"/>
      <c r="J184" s="8"/>
      <c r="K184" s="16">
        <v>40</v>
      </c>
      <c r="L184" s="12">
        <v>0.01</v>
      </c>
      <c r="M184" s="11">
        <f t="shared" si="2"/>
        <v>40</v>
      </c>
      <c r="N184" s="8" t="s">
        <v>519</v>
      </c>
    </row>
    <row r="185" ht="15" spans="1:14">
      <c r="A185" s="8">
        <v>183</v>
      </c>
      <c r="B185" s="8"/>
      <c r="C185" s="8"/>
      <c r="D185" s="8"/>
      <c r="E185" s="8" t="s">
        <v>129</v>
      </c>
      <c r="F185" s="15" t="s">
        <v>623</v>
      </c>
      <c r="G185" s="14" t="s">
        <v>837</v>
      </c>
      <c r="H185" s="15">
        <v>3</v>
      </c>
      <c r="I185" s="8"/>
      <c r="J185" s="8"/>
      <c r="K185" s="16">
        <v>19</v>
      </c>
      <c r="L185" s="12">
        <v>0.01</v>
      </c>
      <c r="M185" s="11">
        <f t="shared" si="2"/>
        <v>57</v>
      </c>
      <c r="N185" s="8" t="s">
        <v>519</v>
      </c>
    </row>
    <row r="186" ht="15" spans="1:14">
      <c r="A186" s="8">
        <v>184</v>
      </c>
      <c r="B186" s="8"/>
      <c r="C186" s="8"/>
      <c r="D186" s="8"/>
      <c r="E186" s="8" t="s">
        <v>129</v>
      </c>
      <c r="F186" s="15" t="s">
        <v>288</v>
      </c>
      <c r="G186" s="14" t="s">
        <v>838</v>
      </c>
      <c r="H186" s="15">
        <v>1</v>
      </c>
      <c r="I186" s="8"/>
      <c r="J186" s="8"/>
      <c r="K186" s="16">
        <v>195</v>
      </c>
      <c r="L186" s="12">
        <v>0.01</v>
      </c>
      <c r="M186" s="11">
        <f t="shared" si="2"/>
        <v>195</v>
      </c>
      <c r="N186" s="8" t="s">
        <v>519</v>
      </c>
    </row>
    <row r="187" ht="15" spans="1:14">
      <c r="A187" s="8">
        <v>185</v>
      </c>
      <c r="B187" s="8"/>
      <c r="C187" s="8"/>
      <c r="D187" s="8"/>
      <c r="E187" s="8" t="s">
        <v>129</v>
      </c>
      <c r="F187" s="15" t="s">
        <v>839</v>
      </c>
      <c r="G187" s="14" t="s">
        <v>840</v>
      </c>
      <c r="H187" s="15">
        <v>1</v>
      </c>
      <c r="I187" s="8"/>
      <c r="J187" s="8"/>
      <c r="K187" s="16">
        <v>370</v>
      </c>
      <c r="L187" s="12">
        <v>0.01</v>
      </c>
      <c r="M187" s="11">
        <f t="shared" si="2"/>
        <v>370</v>
      </c>
      <c r="N187" s="8" t="s">
        <v>519</v>
      </c>
    </row>
    <row r="188" ht="15" spans="1:14">
      <c r="A188" s="8">
        <v>186</v>
      </c>
      <c r="B188" s="8"/>
      <c r="C188" s="8"/>
      <c r="D188" s="8"/>
      <c r="E188" s="8" t="s">
        <v>129</v>
      </c>
      <c r="F188" s="15" t="s">
        <v>841</v>
      </c>
      <c r="G188" s="14" t="s">
        <v>842</v>
      </c>
      <c r="H188" s="15">
        <v>1</v>
      </c>
      <c r="I188" s="8"/>
      <c r="J188" s="8"/>
      <c r="K188" s="16">
        <v>390</v>
      </c>
      <c r="L188" s="12">
        <v>0.01</v>
      </c>
      <c r="M188" s="11">
        <f t="shared" si="2"/>
        <v>390</v>
      </c>
      <c r="N188" s="8" t="s">
        <v>519</v>
      </c>
    </row>
    <row r="189" ht="15" spans="1:14">
      <c r="A189" s="8">
        <v>187</v>
      </c>
      <c r="B189" s="8"/>
      <c r="C189" s="8"/>
      <c r="D189" s="8"/>
      <c r="E189" s="8" t="s">
        <v>129</v>
      </c>
      <c r="F189" s="15" t="s">
        <v>538</v>
      </c>
      <c r="G189" s="14" t="s">
        <v>843</v>
      </c>
      <c r="H189" s="15">
        <v>1</v>
      </c>
      <c r="I189" s="8"/>
      <c r="J189" s="8"/>
      <c r="K189" s="16">
        <v>1425</v>
      </c>
      <c r="L189" s="12">
        <v>0.01</v>
      </c>
      <c r="M189" s="11">
        <f t="shared" si="2"/>
        <v>1425</v>
      </c>
      <c r="N189" s="8" t="s">
        <v>519</v>
      </c>
    </row>
    <row r="190" ht="15" spans="1:14">
      <c r="A190" s="8">
        <v>188</v>
      </c>
      <c r="B190" s="8"/>
      <c r="C190" s="8"/>
      <c r="D190" s="8"/>
      <c r="E190" s="8" t="s">
        <v>129</v>
      </c>
      <c r="F190" s="15" t="s">
        <v>844</v>
      </c>
      <c r="G190" s="14" t="s">
        <v>845</v>
      </c>
      <c r="H190" s="15">
        <v>1</v>
      </c>
      <c r="I190" s="8"/>
      <c r="J190" s="8"/>
      <c r="K190" s="16">
        <v>18.5</v>
      </c>
      <c r="L190" s="12">
        <v>0.01</v>
      </c>
      <c r="M190" s="11">
        <f t="shared" si="2"/>
        <v>18.5</v>
      </c>
      <c r="N190" s="8" t="s">
        <v>519</v>
      </c>
    </row>
    <row r="191" ht="15" spans="1:14">
      <c r="A191" s="8">
        <v>189</v>
      </c>
      <c r="B191" s="8"/>
      <c r="C191" s="8"/>
      <c r="D191" s="8"/>
      <c r="E191" s="8" t="s">
        <v>129</v>
      </c>
      <c r="F191" s="15" t="s">
        <v>523</v>
      </c>
      <c r="G191" s="22" t="s">
        <v>846</v>
      </c>
      <c r="H191" s="15">
        <v>2</v>
      </c>
      <c r="I191" s="8"/>
      <c r="J191" s="8"/>
      <c r="K191" s="16">
        <v>45</v>
      </c>
      <c r="L191" s="12">
        <v>0.01</v>
      </c>
      <c r="M191" s="11">
        <f t="shared" si="2"/>
        <v>90</v>
      </c>
      <c r="N191" s="8" t="s">
        <v>519</v>
      </c>
    </row>
    <row r="192" ht="15" spans="1:14">
      <c r="A192" s="8">
        <v>190</v>
      </c>
      <c r="B192" s="8"/>
      <c r="C192" s="8"/>
      <c r="D192" s="8"/>
      <c r="E192" s="8" t="s">
        <v>129</v>
      </c>
      <c r="F192" s="15" t="s">
        <v>659</v>
      </c>
      <c r="G192" s="22"/>
      <c r="H192" s="15">
        <v>2</v>
      </c>
      <c r="I192" s="8"/>
      <c r="J192" s="8"/>
      <c r="K192" s="16">
        <v>0</v>
      </c>
      <c r="L192" s="12">
        <v>0.01</v>
      </c>
      <c r="M192" s="11">
        <f t="shared" si="2"/>
        <v>0</v>
      </c>
      <c r="N192" s="8" t="s">
        <v>519</v>
      </c>
    </row>
    <row r="193" ht="15" spans="1:14">
      <c r="A193" s="8">
        <v>191</v>
      </c>
      <c r="B193" s="8"/>
      <c r="C193" s="8"/>
      <c r="D193" s="8"/>
      <c r="E193" s="8" t="s">
        <v>129</v>
      </c>
      <c r="F193" s="15" t="s">
        <v>847</v>
      </c>
      <c r="G193" s="22" t="s">
        <v>848</v>
      </c>
      <c r="H193" s="15">
        <v>1</v>
      </c>
      <c r="I193" s="8"/>
      <c r="J193" s="8"/>
      <c r="K193" s="16">
        <v>14</v>
      </c>
      <c r="L193" s="12">
        <v>0.01</v>
      </c>
      <c r="M193" s="11">
        <f t="shared" si="2"/>
        <v>14</v>
      </c>
      <c r="N193" s="8" t="s">
        <v>519</v>
      </c>
    </row>
    <row r="194" ht="15" spans="1:14">
      <c r="A194" s="8">
        <v>192</v>
      </c>
      <c r="B194" s="8"/>
      <c r="C194" s="8"/>
      <c r="D194" s="8"/>
      <c r="E194" s="8" t="s">
        <v>129</v>
      </c>
      <c r="F194" s="15" t="s">
        <v>849</v>
      </c>
      <c r="G194" s="22" t="s">
        <v>850</v>
      </c>
      <c r="H194" s="15">
        <v>1</v>
      </c>
      <c r="I194" s="8"/>
      <c r="J194" s="8"/>
      <c r="K194" s="16">
        <v>22</v>
      </c>
      <c r="L194" s="12">
        <v>0.01</v>
      </c>
      <c r="M194" s="11">
        <f t="shared" si="2"/>
        <v>22</v>
      </c>
      <c r="N194" s="8" t="s">
        <v>519</v>
      </c>
    </row>
    <row r="195" ht="15" spans="1:14">
      <c r="A195" s="8">
        <v>193</v>
      </c>
      <c r="B195" s="8"/>
      <c r="C195" s="8"/>
      <c r="D195" s="8"/>
      <c r="E195" s="8" t="s">
        <v>129</v>
      </c>
      <c r="F195" s="15" t="s">
        <v>734</v>
      </c>
      <c r="G195" s="22"/>
      <c r="H195" s="15">
        <v>8</v>
      </c>
      <c r="I195" s="8"/>
      <c r="J195" s="8"/>
      <c r="K195" s="16">
        <v>19.5</v>
      </c>
      <c r="L195" s="12">
        <v>0.01</v>
      </c>
      <c r="M195" s="11">
        <f t="shared" si="2"/>
        <v>156</v>
      </c>
      <c r="N195" s="8" t="s">
        <v>519</v>
      </c>
    </row>
    <row r="196" ht="30" spans="1:14">
      <c r="A196" s="8">
        <v>194</v>
      </c>
      <c r="B196" s="8"/>
      <c r="C196" s="8"/>
      <c r="D196" s="8"/>
      <c r="E196" s="8" t="s">
        <v>129</v>
      </c>
      <c r="F196" s="15" t="s">
        <v>851</v>
      </c>
      <c r="G196" s="22" t="s">
        <v>852</v>
      </c>
      <c r="H196" s="15">
        <v>1</v>
      </c>
      <c r="I196" s="8"/>
      <c r="J196" s="8"/>
      <c r="K196" s="16">
        <v>85</v>
      </c>
      <c r="L196" s="12">
        <v>0.01</v>
      </c>
      <c r="M196" s="11">
        <f t="shared" ref="M196:M259" si="3">H196*K196</f>
        <v>85</v>
      </c>
      <c r="N196" s="8" t="s">
        <v>519</v>
      </c>
    </row>
    <row r="197" ht="15" spans="1:14">
      <c r="A197" s="8">
        <v>195</v>
      </c>
      <c r="B197" s="8"/>
      <c r="C197" s="8"/>
      <c r="D197" s="8"/>
      <c r="E197" s="8" t="s">
        <v>129</v>
      </c>
      <c r="F197" s="15" t="s">
        <v>853</v>
      </c>
      <c r="G197" s="22" t="s">
        <v>854</v>
      </c>
      <c r="H197" s="15">
        <v>10</v>
      </c>
      <c r="I197" s="8"/>
      <c r="J197" s="8"/>
      <c r="K197" s="16">
        <v>7.8</v>
      </c>
      <c r="L197" s="12">
        <v>0.01</v>
      </c>
      <c r="M197" s="11">
        <f t="shared" si="3"/>
        <v>78</v>
      </c>
      <c r="N197" s="8" t="s">
        <v>519</v>
      </c>
    </row>
    <row r="198" ht="30" spans="1:14">
      <c r="A198" s="8">
        <v>196</v>
      </c>
      <c r="B198" s="8"/>
      <c r="C198" s="8"/>
      <c r="D198" s="8"/>
      <c r="E198" s="8" t="s">
        <v>129</v>
      </c>
      <c r="F198" s="15" t="s">
        <v>695</v>
      </c>
      <c r="G198" s="22" t="s">
        <v>855</v>
      </c>
      <c r="H198" s="15">
        <v>1</v>
      </c>
      <c r="I198" s="8"/>
      <c r="J198" s="8"/>
      <c r="K198" s="16">
        <v>26.8</v>
      </c>
      <c r="L198" s="12">
        <v>0.01</v>
      </c>
      <c r="M198" s="11">
        <f t="shared" si="3"/>
        <v>26.8</v>
      </c>
      <c r="N198" s="8" t="s">
        <v>519</v>
      </c>
    </row>
    <row r="199" ht="15" spans="1:14">
      <c r="A199" s="8">
        <v>197</v>
      </c>
      <c r="B199" s="8"/>
      <c r="C199" s="8"/>
      <c r="D199" s="8"/>
      <c r="E199" s="8" t="s">
        <v>129</v>
      </c>
      <c r="F199" s="15" t="s">
        <v>534</v>
      </c>
      <c r="G199" s="22" t="s">
        <v>612</v>
      </c>
      <c r="H199" s="15">
        <v>10</v>
      </c>
      <c r="I199" s="8"/>
      <c r="J199" s="8"/>
      <c r="K199" s="16">
        <v>13.8</v>
      </c>
      <c r="L199" s="12">
        <v>0.01</v>
      </c>
      <c r="M199" s="11">
        <f t="shared" si="3"/>
        <v>138</v>
      </c>
      <c r="N199" s="8" t="s">
        <v>519</v>
      </c>
    </row>
    <row r="200" ht="15" spans="1:14">
      <c r="A200" s="8">
        <v>198</v>
      </c>
      <c r="B200" s="8"/>
      <c r="C200" s="8"/>
      <c r="D200" s="8"/>
      <c r="E200" s="8" t="s">
        <v>129</v>
      </c>
      <c r="F200" s="15" t="s">
        <v>856</v>
      </c>
      <c r="G200" s="22" t="s">
        <v>857</v>
      </c>
      <c r="H200" s="15">
        <v>2</v>
      </c>
      <c r="I200" s="8"/>
      <c r="J200" s="8"/>
      <c r="K200" s="16">
        <v>10</v>
      </c>
      <c r="L200" s="12">
        <v>0.01</v>
      </c>
      <c r="M200" s="11">
        <f t="shared" si="3"/>
        <v>20</v>
      </c>
      <c r="N200" s="8" t="s">
        <v>519</v>
      </c>
    </row>
    <row r="201" ht="15" spans="1:14">
      <c r="A201" s="8">
        <v>199</v>
      </c>
      <c r="B201" s="8"/>
      <c r="C201" s="8"/>
      <c r="D201" s="8"/>
      <c r="E201" s="8" t="s">
        <v>129</v>
      </c>
      <c r="F201" s="15" t="s">
        <v>858</v>
      </c>
      <c r="G201" s="22" t="s">
        <v>859</v>
      </c>
      <c r="H201" s="15">
        <v>1</v>
      </c>
      <c r="I201" s="8"/>
      <c r="J201" s="8"/>
      <c r="K201" s="16">
        <v>45</v>
      </c>
      <c r="L201" s="12">
        <v>0.01</v>
      </c>
      <c r="M201" s="11">
        <f t="shared" si="3"/>
        <v>45</v>
      </c>
      <c r="N201" s="8" t="s">
        <v>519</v>
      </c>
    </row>
    <row r="202" ht="15" spans="1:14">
      <c r="A202" s="8">
        <v>200</v>
      </c>
      <c r="B202" s="8"/>
      <c r="C202" s="8"/>
      <c r="D202" s="8"/>
      <c r="E202" s="8" t="s">
        <v>129</v>
      </c>
      <c r="F202" s="15" t="s">
        <v>860</v>
      </c>
      <c r="G202" s="22" t="s">
        <v>861</v>
      </c>
      <c r="H202" s="15">
        <v>20</v>
      </c>
      <c r="I202" s="8"/>
      <c r="J202" s="8"/>
      <c r="K202" s="16">
        <v>5.5</v>
      </c>
      <c r="L202" s="12">
        <v>0.01</v>
      </c>
      <c r="M202" s="11">
        <f t="shared" si="3"/>
        <v>110</v>
      </c>
      <c r="N202" s="8" t="s">
        <v>519</v>
      </c>
    </row>
    <row r="203" ht="15" spans="1:14">
      <c r="A203" s="8">
        <v>201</v>
      </c>
      <c r="B203" s="8"/>
      <c r="C203" s="8"/>
      <c r="D203" s="8"/>
      <c r="E203" s="8" t="s">
        <v>129</v>
      </c>
      <c r="F203" s="15" t="s">
        <v>862</v>
      </c>
      <c r="G203" s="22" t="s">
        <v>817</v>
      </c>
      <c r="H203" s="15">
        <v>3</v>
      </c>
      <c r="I203" s="8"/>
      <c r="J203" s="8"/>
      <c r="K203" s="16">
        <v>23</v>
      </c>
      <c r="L203" s="12">
        <v>0.01</v>
      </c>
      <c r="M203" s="11">
        <f t="shared" si="3"/>
        <v>69</v>
      </c>
      <c r="N203" s="8" t="s">
        <v>519</v>
      </c>
    </row>
    <row r="204" ht="15" spans="1:14">
      <c r="A204" s="8">
        <v>202</v>
      </c>
      <c r="B204" s="8"/>
      <c r="C204" s="8"/>
      <c r="D204" s="8"/>
      <c r="E204" s="8" t="s">
        <v>129</v>
      </c>
      <c r="F204" s="15" t="s">
        <v>863</v>
      </c>
      <c r="G204" s="22" t="s">
        <v>864</v>
      </c>
      <c r="H204" s="15">
        <v>3</v>
      </c>
      <c r="I204" s="8"/>
      <c r="J204" s="8"/>
      <c r="K204" s="16">
        <v>4</v>
      </c>
      <c r="L204" s="12">
        <v>0.01</v>
      </c>
      <c r="M204" s="11">
        <f t="shared" si="3"/>
        <v>12</v>
      </c>
      <c r="N204" s="8" t="s">
        <v>519</v>
      </c>
    </row>
    <row r="205" ht="15" spans="1:14">
      <c r="A205" s="8">
        <v>203</v>
      </c>
      <c r="B205" s="8"/>
      <c r="C205" s="8"/>
      <c r="D205" s="8"/>
      <c r="E205" s="8" t="s">
        <v>129</v>
      </c>
      <c r="F205" s="15" t="s">
        <v>865</v>
      </c>
      <c r="G205" s="22" t="s">
        <v>866</v>
      </c>
      <c r="H205" s="15">
        <v>2</v>
      </c>
      <c r="I205" s="8"/>
      <c r="J205" s="8"/>
      <c r="K205" s="16">
        <v>8</v>
      </c>
      <c r="L205" s="12">
        <v>0.01</v>
      </c>
      <c r="M205" s="11">
        <f t="shared" si="3"/>
        <v>16</v>
      </c>
      <c r="N205" s="8" t="s">
        <v>519</v>
      </c>
    </row>
    <row r="206" ht="15" spans="1:14">
      <c r="A206" s="8">
        <v>204</v>
      </c>
      <c r="B206" s="8"/>
      <c r="C206" s="8"/>
      <c r="D206" s="8"/>
      <c r="E206" s="8" t="s">
        <v>129</v>
      </c>
      <c r="F206" s="15" t="s">
        <v>867</v>
      </c>
      <c r="G206" s="22" t="s">
        <v>868</v>
      </c>
      <c r="H206" s="15">
        <v>10</v>
      </c>
      <c r="I206" s="8"/>
      <c r="J206" s="8"/>
      <c r="K206" s="16">
        <v>1</v>
      </c>
      <c r="L206" s="12">
        <v>0.01</v>
      </c>
      <c r="M206" s="11">
        <f t="shared" si="3"/>
        <v>10</v>
      </c>
      <c r="N206" s="8" t="s">
        <v>519</v>
      </c>
    </row>
    <row r="207" ht="15" spans="1:14">
      <c r="A207" s="8">
        <v>205</v>
      </c>
      <c r="B207" s="8"/>
      <c r="C207" s="8"/>
      <c r="D207" s="8"/>
      <c r="E207" s="8" t="s">
        <v>129</v>
      </c>
      <c r="F207" s="15" t="s">
        <v>869</v>
      </c>
      <c r="G207" s="22" t="s">
        <v>870</v>
      </c>
      <c r="H207" s="15">
        <v>1</v>
      </c>
      <c r="I207" s="8"/>
      <c r="J207" s="8"/>
      <c r="K207" s="16">
        <v>20</v>
      </c>
      <c r="L207" s="12">
        <v>0.01</v>
      </c>
      <c r="M207" s="11">
        <f t="shared" si="3"/>
        <v>20</v>
      </c>
      <c r="N207" s="8" t="s">
        <v>519</v>
      </c>
    </row>
    <row r="208" ht="15" spans="1:14">
      <c r="A208" s="8">
        <v>206</v>
      </c>
      <c r="B208" s="8"/>
      <c r="C208" s="8"/>
      <c r="D208" s="8"/>
      <c r="E208" s="8" t="s">
        <v>129</v>
      </c>
      <c r="F208" s="15" t="s">
        <v>871</v>
      </c>
      <c r="G208" s="22" t="s">
        <v>872</v>
      </c>
      <c r="H208" s="15">
        <v>5</v>
      </c>
      <c r="I208" s="8"/>
      <c r="J208" s="8"/>
      <c r="K208" s="16">
        <v>33.5</v>
      </c>
      <c r="L208" s="12">
        <v>0.01</v>
      </c>
      <c r="M208" s="11">
        <f t="shared" si="3"/>
        <v>167.5</v>
      </c>
      <c r="N208" s="8" t="s">
        <v>519</v>
      </c>
    </row>
    <row r="209" ht="15" spans="1:14">
      <c r="A209" s="8">
        <v>207</v>
      </c>
      <c r="B209" s="8"/>
      <c r="C209" s="8"/>
      <c r="D209" s="8"/>
      <c r="E209" s="8" t="s">
        <v>129</v>
      </c>
      <c r="F209" s="15" t="s">
        <v>873</v>
      </c>
      <c r="G209" s="22" t="s">
        <v>874</v>
      </c>
      <c r="H209" s="15">
        <v>1</v>
      </c>
      <c r="I209" s="8"/>
      <c r="J209" s="8"/>
      <c r="K209" s="16">
        <v>20</v>
      </c>
      <c r="L209" s="12">
        <v>0.01</v>
      </c>
      <c r="M209" s="11">
        <f t="shared" si="3"/>
        <v>20</v>
      </c>
      <c r="N209" s="8" t="s">
        <v>519</v>
      </c>
    </row>
    <row r="210" ht="15" spans="1:14">
      <c r="A210" s="8">
        <v>208</v>
      </c>
      <c r="B210" s="8"/>
      <c r="C210" s="8"/>
      <c r="D210" s="8"/>
      <c r="E210" s="8" t="s">
        <v>129</v>
      </c>
      <c r="F210" s="15" t="s">
        <v>875</v>
      </c>
      <c r="G210" s="22" t="s">
        <v>876</v>
      </c>
      <c r="H210" s="15">
        <v>1</v>
      </c>
      <c r="I210" s="8"/>
      <c r="J210" s="8"/>
      <c r="K210" s="16">
        <v>15</v>
      </c>
      <c r="L210" s="12">
        <v>0.01</v>
      </c>
      <c r="M210" s="11">
        <f t="shared" si="3"/>
        <v>15</v>
      </c>
      <c r="N210" s="8" t="s">
        <v>519</v>
      </c>
    </row>
    <row r="211" ht="15" spans="1:14">
      <c r="A211" s="8">
        <v>209</v>
      </c>
      <c r="B211" s="8"/>
      <c r="C211" s="8"/>
      <c r="D211" s="8"/>
      <c r="E211" s="8" t="s">
        <v>129</v>
      </c>
      <c r="F211" s="15" t="s">
        <v>877</v>
      </c>
      <c r="G211" s="22" t="s">
        <v>878</v>
      </c>
      <c r="H211" s="15">
        <v>1</v>
      </c>
      <c r="I211" s="8"/>
      <c r="J211" s="8"/>
      <c r="K211" s="16">
        <v>130</v>
      </c>
      <c r="L211" s="12">
        <v>0.01</v>
      </c>
      <c r="M211" s="11">
        <f t="shared" si="3"/>
        <v>130</v>
      </c>
      <c r="N211" s="8" t="s">
        <v>519</v>
      </c>
    </row>
    <row r="212" ht="15" spans="1:14">
      <c r="A212" s="8">
        <v>210</v>
      </c>
      <c r="B212" s="8"/>
      <c r="C212" s="8"/>
      <c r="D212" s="8"/>
      <c r="E212" s="8" t="s">
        <v>129</v>
      </c>
      <c r="F212" s="15" t="s">
        <v>707</v>
      </c>
      <c r="G212" s="22" t="s">
        <v>708</v>
      </c>
      <c r="H212" s="15">
        <v>2</v>
      </c>
      <c r="I212" s="8"/>
      <c r="J212" s="8"/>
      <c r="K212" s="16">
        <v>44</v>
      </c>
      <c r="L212" s="12">
        <v>0.01</v>
      </c>
      <c r="M212" s="11">
        <f t="shared" si="3"/>
        <v>88</v>
      </c>
      <c r="N212" s="8" t="s">
        <v>519</v>
      </c>
    </row>
    <row r="213" ht="15" spans="1:14">
      <c r="A213" s="8">
        <v>211</v>
      </c>
      <c r="B213" s="8"/>
      <c r="C213" s="8"/>
      <c r="D213" s="8"/>
      <c r="E213" s="8" t="s">
        <v>129</v>
      </c>
      <c r="F213" s="15" t="s">
        <v>879</v>
      </c>
      <c r="G213" s="22" t="s">
        <v>880</v>
      </c>
      <c r="H213" s="15">
        <v>2</v>
      </c>
      <c r="I213" s="8"/>
      <c r="J213" s="8"/>
      <c r="K213" s="16">
        <v>55</v>
      </c>
      <c r="L213" s="12">
        <v>0.01</v>
      </c>
      <c r="M213" s="11">
        <f t="shared" si="3"/>
        <v>110</v>
      </c>
      <c r="N213" s="8" t="s">
        <v>519</v>
      </c>
    </row>
    <row r="214" ht="15" spans="1:14">
      <c r="A214" s="8">
        <v>212</v>
      </c>
      <c r="B214" s="8"/>
      <c r="C214" s="8"/>
      <c r="D214" s="8"/>
      <c r="E214" s="8" t="s">
        <v>129</v>
      </c>
      <c r="F214" s="15" t="s">
        <v>521</v>
      </c>
      <c r="G214" s="22" t="s">
        <v>881</v>
      </c>
      <c r="H214" s="15">
        <v>1</v>
      </c>
      <c r="I214" s="8"/>
      <c r="J214" s="8"/>
      <c r="K214" s="16">
        <v>3465</v>
      </c>
      <c r="L214" s="12">
        <v>0.01</v>
      </c>
      <c r="M214" s="11">
        <f t="shared" si="3"/>
        <v>3465</v>
      </c>
      <c r="N214" s="8" t="s">
        <v>519</v>
      </c>
    </row>
    <row r="215" ht="15" spans="1:14">
      <c r="A215" s="8">
        <v>213</v>
      </c>
      <c r="B215" s="8"/>
      <c r="C215" s="8"/>
      <c r="D215" s="8"/>
      <c r="E215" s="8" t="s">
        <v>129</v>
      </c>
      <c r="F215" s="15" t="s">
        <v>882</v>
      </c>
      <c r="G215" s="22" t="s">
        <v>883</v>
      </c>
      <c r="H215" s="15">
        <v>10</v>
      </c>
      <c r="I215" s="8"/>
      <c r="J215" s="8"/>
      <c r="K215" s="16">
        <v>3.1</v>
      </c>
      <c r="L215" s="12">
        <v>0.01</v>
      </c>
      <c r="M215" s="11">
        <f t="shared" si="3"/>
        <v>31</v>
      </c>
      <c r="N215" s="8" t="s">
        <v>519</v>
      </c>
    </row>
    <row r="216" ht="30" spans="1:14">
      <c r="A216" s="8">
        <v>214</v>
      </c>
      <c r="B216" s="8"/>
      <c r="C216" s="8"/>
      <c r="D216" s="8"/>
      <c r="E216" s="8" t="s">
        <v>129</v>
      </c>
      <c r="F216" s="15" t="s">
        <v>882</v>
      </c>
      <c r="G216" s="22" t="s">
        <v>884</v>
      </c>
      <c r="H216" s="15">
        <v>10</v>
      </c>
      <c r="I216" s="8"/>
      <c r="J216" s="8"/>
      <c r="K216" s="16">
        <v>4.5</v>
      </c>
      <c r="L216" s="12">
        <v>0.01</v>
      </c>
      <c r="M216" s="11">
        <f t="shared" si="3"/>
        <v>45</v>
      </c>
      <c r="N216" s="8" t="s">
        <v>519</v>
      </c>
    </row>
    <row r="217" ht="15" spans="1:14">
      <c r="A217" s="8">
        <v>215</v>
      </c>
      <c r="B217" s="8"/>
      <c r="C217" s="8"/>
      <c r="D217" s="8"/>
      <c r="E217" s="8" t="s">
        <v>129</v>
      </c>
      <c r="F217" s="15" t="s">
        <v>683</v>
      </c>
      <c r="G217" s="22" t="s">
        <v>885</v>
      </c>
      <c r="H217" s="15">
        <v>1</v>
      </c>
      <c r="I217" s="8"/>
      <c r="J217" s="8"/>
      <c r="K217" s="16">
        <v>68</v>
      </c>
      <c r="L217" s="12">
        <v>0.01</v>
      </c>
      <c r="M217" s="11">
        <f t="shared" si="3"/>
        <v>68</v>
      </c>
      <c r="N217" s="8" t="s">
        <v>519</v>
      </c>
    </row>
    <row r="218" ht="15" spans="1:14">
      <c r="A218" s="8">
        <v>216</v>
      </c>
      <c r="B218" s="8"/>
      <c r="C218" s="8"/>
      <c r="D218" s="8"/>
      <c r="E218" s="8" t="s">
        <v>129</v>
      </c>
      <c r="F218" s="15" t="s">
        <v>886</v>
      </c>
      <c r="G218" s="22" t="s">
        <v>887</v>
      </c>
      <c r="H218" s="15">
        <v>1</v>
      </c>
      <c r="I218" s="8"/>
      <c r="J218" s="8"/>
      <c r="K218" s="16">
        <v>135</v>
      </c>
      <c r="L218" s="12">
        <v>0.01</v>
      </c>
      <c r="M218" s="11">
        <f t="shared" si="3"/>
        <v>135</v>
      </c>
      <c r="N218" s="8" t="s">
        <v>519</v>
      </c>
    </row>
    <row r="219" ht="15" spans="1:14">
      <c r="A219" s="8">
        <v>217</v>
      </c>
      <c r="B219" s="8"/>
      <c r="C219" s="8"/>
      <c r="D219" s="8"/>
      <c r="E219" s="8" t="s">
        <v>129</v>
      </c>
      <c r="F219" s="15" t="s">
        <v>538</v>
      </c>
      <c r="G219" s="22" t="s">
        <v>888</v>
      </c>
      <c r="H219" s="15">
        <v>1</v>
      </c>
      <c r="I219" s="8"/>
      <c r="J219" s="8"/>
      <c r="K219" s="16">
        <v>1898</v>
      </c>
      <c r="L219" s="12">
        <v>0.01</v>
      </c>
      <c r="M219" s="11">
        <f t="shared" si="3"/>
        <v>1898</v>
      </c>
      <c r="N219" s="8" t="s">
        <v>519</v>
      </c>
    </row>
    <row r="220" ht="15" spans="1:14">
      <c r="A220" s="8">
        <v>218</v>
      </c>
      <c r="B220" s="8"/>
      <c r="C220" s="8"/>
      <c r="D220" s="8"/>
      <c r="E220" s="8" t="s">
        <v>129</v>
      </c>
      <c r="F220" s="15" t="s">
        <v>889</v>
      </c>
      <c r="G220" s="22" t="s">
        <v>890</v>
      </c>
      <c r="H220" s="15">
        <v>1</v>
      </c>
      <c r="I220" s="8"/>
      <c r="J220" s="8"/>
      <c r="K220" s="16">
        <v>455</v>
      </c>
      <c r="L220" s="12">
        <v>0.01</v>
      </c>
      <c r="M220" s="11">
        <f t="shared" si="3"/>
        <v>455</v>
      </c>
      <c r="N220" s="8" t="s">
        <v>519</v>
      </c>
    </row>
    <row r="221" ht="30" spans="1:14">
      <c r="A221" s="8">
        <v>219</v>
      </c>
      <c r="B221" s="8"/>
      <c r="C221" s="8"/>
      <c r="D221" s="8"/>
      <c r="E221" s="8" t="s">
        <v>129</v>
      </c>
      <c r="F221" s="15" t="s">
        <v>891</v>
      </c>
      <c r="G221" s="22" t="s">
        <v>892</v>
      </c>
      <c r="H221" s="15">
        <v>6</v>
      </c>
      <c r="I221" s="8"/>
      <c r="J221" s="8"/>
      <c r="K221" s="16">
        <v>16.5</v>
      </c>
      <c r="L221" s="12">
        <v>0.01</v>
      </c>
      <c r="M221" s="11">
        <f t="shared" si="3"/>
        <v>99</v>
      </c>
      <c r="N221" s="8" t="s">
        <v>519</v>
      </c>
    </row>
    <row r="222" ht="15" spans="1:14">
      <c r="A222" s="8">
        <v>220</v>
      </c>
      <c r="B222" s="8"/>
      <c r="C222" s="8"/>
      <c r="D222" s="8"/>
      <c r="E222" s="8" t="s">
        <v>129</v>
      </c>
      <c r="F222" s="15" t="s">
        <v>893</v>
      </c>
      <c r="G222" s="22" t="s">
        <v>894</v>
      </c>
      <c r="H222" s="15">
        <v>50</v>
      </c>
      <c r="I222" s="8"/>
      <c r="J222" s="8"/>
      <c r="K222" s="16">
        <v>2</v>
      </c>
      <c r="L222" s="12">
        <v>0.01</v>
      </c>
      <c r="M222" s="11">
        <f t="shared" si="3"/>
        <v>100</v>
      </c>
      <c r="N222" s="8" t="s">
        <v>519</v>
      </c>
    </row>
    <row r="223" ht="15" spans="1:14">
      <c r="A223" s="8">
        <v>221</v>
      </c>
      <c r="B223" s="8"/>
      <c r="C223" s="8"/>
      <c r="D223" s="8"/>
      <c r="E223" s="8" t="s">
        <v>129</v>
      </c>
      <c r="F223" s="15" t="s">
        <v>893</v>
      </c>
      <c r="G223" s="22" t="s">
        <v>895</v>
      </c>
      <c r="H223" s="15">
        <v>50</v>
      </c>
      <c r="I223" s="8"/>
      <c r="J223" s="8"/>
      <c r="K223" s="16">
        <v>1.65</v>
      </c>
      <c r="L223" s="12">
        <v>0.01</v>
      </c>
      <c r="M223" s="11">
        <f t="shared" si="3"/>
        <v>82.5</v>
      </c>
      <c r="N223" s="8" t="s">
        <v>519</v>
      </c>
    </row>
    <row r="224" ht="15" spans="1:14">
      <c r="A224" s="8">
        <v>222</v>
      </c>
      <c r="B224" s="8"/>
      <c r="C224" s="8"/>
      <c r="D224" s="8"/>
      <c r="E224" s="8" t="s">
        <v>129</v>
      </c>
      <c r="F224" s="15" t="s">
        <v>896</v>
      </c>
      <c r="G224" s="22" t="s">
        <v>897</v>
      </c>
      <c r="H224" s="15">
        <v>5</v>
      </c>
      <c r="I224" s="8"/>
      <c r="J224" s="8"/>
      <c r="K224" s="16">
        <v>6.5</v>
      </c>
      <c r="L224" s="12">
        <v>0.01</v>
      </c>
      <c r="M224" s="11">
        <f t="shared" si="3"/>
        <v>32.5</v>
      </c>
      <c r="N224" s="8" t="s">
        <v>519</v>
      </c>
    </row>
    <row r="225" ht="15" spans="1:14">
      <c r="A225" s="8">
        <v>223</v>
      </c>
      <c r="B225" s="8"/>
      <c r="C225" s="8"/>
      <c r="D225" s="8"/>
      <c r="E225" s="8" t="s">
        <v>129</v>
      </c>
      <c r="F225" s="15" t="s">
        <v>898</v>
      </c>
      <c r="G225" s="22" t="s">
        <v>899</v>
      </c>
      <c r="H225" s="15">
        <v>12</v>
      </c>
      <c r="I225" s="8"/>
      <c r="J225" s="8"/>
      <c r="K225" s="16">
        <v>12</v>
      </c>
      <c r="L225" s="12">
        <v>0.01</v>
      </c>
      <c r="M225" s="11">
        <f t="shared" si="3"/>
        <v>144</v>
      </c>
      <c r="N225" s="8" t="s">
        <v>519</v>
      </c>
    </row>
    <row r="226" ht="15" spans="1:14">
      <c r="A226" s="8">
        <v>224</v>
      </c>
      <c r="B226" s="8"/>
      <c r="C226" s="8"/>
      <c r="D226" s="8"/>
      <c r="E226" s="8" t="s">
        <v>129</v>
      </c>
      <c r="F226" s="15" t="s">
        <v>638</v>
      </c>
      <c r="G226" s="22" t="s">
        <v>900</v>
      </c>
      <c r="H226" s="15">
        <v>10</v>
      </c>
      <c r="I226" s="8"/>
      <c r="J226" s="8"/>
      <c r="K226" s="16">
        <v>9.5</v>
      </c>
      <c r="L226" s="12">
        <v>0.01</v>
      </c>
      <c r="M226" s="11">
        <f t="shared" si="3"/>
        <v>95</v>
      </c>
      <c r="N226" s="8" t="s">
        <v>519</v>
      </c>
    </row>
    <row r="227" ht="15" spans="1:14">
      <c r="A227" s="8">
        <v>225</v>
      </c>
      <c r="B227" s="8"/>
      <c r="C227" s="8"/>
      <c r="D227" s="8"/>
      <c r="E227" s="8" t="s">
        <v>129</v>
      </c>
      <c r="F227" s="15" t="s">
        <v>756</v>
      </c>
      <c r="G227" s="22" t="s">
        <v>901</v>
      </c>
      <c r="H227" s="15">
        <v>5</v>
      </c>
      <c r="I227" s="8"/>
      <c r="J227" s="8"/>
      <c r="K227" s="16">
        <v>26.5</v>
      </c>
      <c r="L227" s="12">
        <v>0.01</v>
      </c>
      <c r="M227" s="11">
        <f t="shared" si="3"/>
        <v>132.5</v>
      </c>
      <c r="N227" s="8" t="s">
        <v>519</v>
      </c>
    </row>
    <row r="228" ht="15" spans="1:14">
      <c r="A228" s="8">
        <v>226</v>
      </c>
      <c r="B228" s="8"/>
      <c r="C228" s="8"/>
      <c r="D228" s="8"/>
      <c r="E228" s="8" t="s">
        <v>129</v>
      </c>
      <c r="F228" s="15" t="s">
        <v>902</v>
      </c>
      <c r="G228" s="22">
        <v>783</v>
      </c>
      <c r="H228" s="15">
        <v>2</v>
      </c>
      <c r="I228" s="8"/>
      <c r="J228" s="8"/>
      <c r="K228" s="16">
        <v>32.5</v>
      </c>
      <c r="L228" s="12">
        <v>0.01</v>
      </c>
      <c r="M228" s="11">
        <f t="shared" si="3"/>
        <v>65</v>
      </c>
      <c r="N228" s="8" t="s">
        <v>519</v>
      </c>
    </row>
    <row r="229" ht="15" spans="1:14">
      <c r="A229" s="8">
        <v>227</v>
      </c>
      <c r="B229" s="8"/>
      <c r="C229" s="8"/>
      <c r="D229" s="8"/>
      <c r="E229" s="8" t="s">
        <v>129</v>
      </c>
      <c r="F229" s="15" t="s">
        <v>630</v>
      </c>
      <c r="G229" s="22" t="s">
        <v>903</v>
      </c>
      <c r="H229" s="15">
        <v>3</v>
      </c>
      <c r="I229" s="8"/>
      <c r="J229" s="8"/>
      <c r="K229" s="16">
        <v>4.5</v>
      </c>
      <c r="L229" s="12">
        <v>0.01</v>
      </c>
      <c r="M229" s="11">
        <f t="shared" si="3"/>
        <v>13.5</v>
      </c>
      <c r="N229" s="8" t="s">
        <v>519</v>
      </c>
    </row>
    <row r="230" ht="15" spans="1:14">
      <c r="A230" s="8">
        <v>228</v>
      </c>
      <c r="B230" s="8"/>
      <c r="C230" s="8"/>
      <c r="D230" s="8"/>
      <c r="E230" s="8" t="s">
        <v>129</v>
      </c>
      <c r="F230" s="15" t="s">
        <v>904</v>
      </c>
      <c r="G230" s="22" t="s">
        <v>905</v>
      </c>
      <c r="H230" s="15">
        <v>3</v>
      </c>
      <c r="I230" s="8"/>
      <c r="J230" s="8"/>
      <c r="K230" s="16">
        <v>24</v>
      </c>
      <c r="L230" s="12">
        <v>0.01</v>
      </c>
      <c r="M230" s="11">
        <f t="shared" si="3"/>
        <v>72</v>
      </c>
      <c r="N230" s="8" t="s">
        <v>519</v>
      </c>
    </row>
    <row r="231" ht="15" spans="1:14">
      <c r="A231" s="8">
        <v>229</v>
      </c>
      <c r="B231" s="8"/>
      <c r="C231" s="8"/>
      <c r="D231" s="8"/>
      <c r="E231" s="8" t="s">
        <v>129</v>
      </c>
      <c r="F231" s="15" t="s">
        <v>906</v>
      </c>
      <c r="G231" s="22" t="s">
        <v>907</v>
      </c>
      <c r="H231" s="15">
        <v>1</v>
      </c>
      <c r="I231" s="8"/>
      <c r="J231" s="8"/>
      <c r="K231" s="16">
        <v>37</v>
      </c>
      <c r="L231" s="12">
        <v>0.01</v>
      </c>
      <c r="M231" s="11">
        <f t="shared" si="3"/>
        <v>37</v>
      </c>
      <c r="N231" s="8" t="s">
        <v>519</v>
      </c>
    </row>
    <row r="232" ht="15" spans="1:14">
      <c r="A232" s="8">
        <v>230</v>
      </c>
      <c r="B232" s="8"/>
      <c r="C232" s="8"/>
      <c r="D232" s="8"/>
      <c r="E232" s="8" t="s">
        <v>129</v>
      </c>
      <c r="F232" s="15" t="s">
        <v>908</v>
      </c>
      <c r="G232" s="22" t="s">
        <v>909</v>
      </c>
      <c r="H232" s="15">
        <v>1</v>
      </c>
      <c r="I232" s="8"/>
      <c r="J232" s="8"/>
      <c r="K232" s="16">
        <v>845</v>
      </c>
      <c r="L232" s="12">
        <v>0.01</v>
      </c>
      <c r="M232" s="11">
        <f t="shared" si="3"/>
        <v>845</v>
      </c>
      <c r="N232" s="8" t="s">
        <v>519</v>
      </c>
    </row>
    <row r="233" ht="15" spans="1:14">
      <c r="A233" s="8">
        <v>231</v>
      </c>
      <c r="B233" s="8"/>
      <c r="C233" s="8"/>
      <c r="D233" s="8"/>
      <c r="E233" s="8" t="s">
        <v>129</v>
      </c>
      <c r="F233" s="15" t="s">
        <v>938</v>
      </c>
      <c r="G233" s="22" t="s">
        <v>2231</v>
      </c>
      <c r="H233" s="15">
        <v>1</v>
      </c>
      <c r="I233" s="8"/>
      <c r="J233" s="8"/>
      <c r="K233" s="16">
        <v>0</v>
      </c>
      <c r="L233" s="12">
        <v>0.01</v>
      </c>
      <c r="M233" s="11">
        <f t="shared" si="3"/>
        <v>0</v>
      </c>
      <c r="N233" s="8" t="s">
        <v>519</v>
      </c>
    </row>
    <row r="234" ht="15" spans="1:14">
      <c r="A234" s="8">
        <v>232</v>
      </c>
      <c r="B234" s="8"/>
      <c r="C234" s="8"/>
      <c r="D234" s="8"/>
      <c r="E234" s="8" t="s">
        <v>129</v>
      </c>
      <c r="F234" s="15" t="s">
        <v>910</v>
      </c>
      <c r="G234" s="22" t="s">
        <v>911</v>
      </c>
      <c r="H234" s="15">
        <v>1</v>
      </c>
      <c r="I234" s="8"/>
      <c r="J234" s="8"/>
      <c r="K234" s="16">
        <v>140</v>
      </c>
      <c r="L234" s="12">
        <v>0.01</v>
      </c>
      <c r="M234" s="11">
        <f t="shared" si="3"/>
        <v>140</v>
      </c>
      <c r="N234" s="8" t="s">
        <v>519</v>
      </c>
    </row>
    <row r="235" ht="15" spans="1:14">
      <c r="A235" s="8">
        <v>233</v>
      </c>
      <c r="B235" s="8"/>
      <c r="C235" s="8"/>
      <c r="D235" s="8"/>
      <c r="E235" s="8" t="s">
        <v>129</v>
      </c>
      <c r="F235" s="15" t="s">
        <v>912</v>
      </c>
      <c r="G235" s="22"/>
      <c r="H235" s="15">
        <v>4</v>
      </c>
      <c r="I235" s="8"/>
      <c r="J235" s="8"/>
      <c r="K235" s="16">
        <v>55</v>
      </c>
      <c r="L235" s="12">
        <v>0.01</v>
      </c>
      <c r="M235" s="11">
        <f t="shared" si="3"/>
        <v>220</v>
      </c>
      <c r="N235" s="8" t="s">
        <v>519</v>
      </c>
    </row>
    <row r="236" ht="15" spans="1:14">
      <c r="A236" s="8">
        <v>234</v>
      </c>
      <c r="B236" s="8"/>
      <c r="C236" s="8"/>
      <c r="D236" s="8"/>
      <c r="E236" s="8" t="s">
        <v>129</v>
      </c>
      <c r="F236" s="15" t="s">
        <v>913</v>
      </c>
      <c r="G236" s="22"/>
      <c r="H236" s="15">
        <v>3</v>
      </c>
      <c r="I236" s="8"/>
      <c r="J236" s="8"/>
      <c r="K236" s="16">
        <v>13</v>
      </c>
      <c r="L236" s="12">
        <v>0.01</v>
      </c>
      <c r="M236" s="11">
        <f t="shared" si="3"/>
        <v>39</v>
      </c>
      <c r="N236" s="8" t="s">
        <v>519</v>
      </c>
    </row>
    <row r="237" ht="15" spans="1:14">
      <c r="A237" s="8">
        <v>235</v>
      </c>
      <c r="B237" s="8"/>
      <c r="C237" s="8"/>
      <c r="D237" s="8"/>
      <c r="E237" s="8" t="s">
        <v>129</v>
      </c>
      <c r="F237" s="15" t="s">
        <v>914</v>
      </c>
      <c r="G237" s="22" t="s">
        <v>915</v>
      </c>
      <c r="H237" s="15">
        <v>4</v>
      </c>
      <c r="I237" s="8"/>
      <c r="J237" s="8"/>
      <c r="K237" s="16">
        <v>18</v>
      </c>
      <c r="L237" s="12">
        <v>0.01</v>
      </c>
      <c r="M237" s="11">
        <f t="shared" si="3"/>
        <v>72</v>
      </c>
      <c r="N237" s="8" t="s">
        <v>519</v>
      </c>
    </row>
    <row r="238" ht="15" spans="1:14">
      <c r="A238" s="8">
        <v>236</v>
      </c>
      <c r="B238" s="8"/>
      <c r="C238" s="8"/>
      <c r="D238" s="8"/>
      <c r="E238" s="8" t="s">
        <v>129</v>
      </c>
      <c r="F238" s="15" t="s">
        <v>916</v>
      </c>
      <c r="G238" s="22" t="s">
        <v>566</v>
      </c>
      <c r="H238" s="15">
        <v>1</v>
      </c>
      <c r="I238" s="8"/>
      <c r="J238" s="8"/>
      <c r="K238" s="16">
        <v>55</v>
      </c>
      <c r="L238" s="12">
        <v>0.01</v>
      </c>
      <c r="M238" s="11">
        <f t="shared" si="3"/>
        <v>55</v>
      </c>
      <c r="N238" s="8" t="s">
        <v>519</v>
      </c>
    </row>
    <row r="239" ht="15" spans="1:14">
      <c r="A239" s="8">
        <v>237</v>
      </c>
      <c r="B239" s="8"/>
      <c r="C239" s="8"/>
      <c r="D239" s="8"/>
      <c r="E239" s="8" t="s">
        <v>129</v>
      </c>
      <c r="F239" s="15" t="s">
        <v>917</v>
      </c>
      <c r="G239" s="22" t="s">
        <v>918</v>
      </c>
      <c r="H239" s="15">
        <v>1</v>
      </c>
      <c r="I239" s="8"/>
      <c r="J239" s="8"/>
      <c r="K239" s="16">
        <v>29</v>
      </c>
      <c r="L239" s="12">
        <v>0.01</v>
      </c>
      <c r="M239" s="11">
        <f t="shared" si="3"/>
        <v>29</v>
      </c>
      <c r="N239" s="8" t="s">
        <v>519</v>
      </c>
    </row>
    <row r="240" ht="15" spans="1:14">
      <c r="A240" s="8">
        <v>238</v>
      </c>
      <c r="B240" s="8"/>
      <c r="C240" s="8"/>
      <c r="D240" s="8"/>
      <c r="E240" s="8" t="s">
        <v>129</v>
      </c>
      <c r="F240" s="15" t="s">
        <v>917</v>
      </c>
      <c r="G240" s="22" t="s">
        <v>919</v>
      </c>
      <c r="H240" s="15">
        <v>1</v>
      </c>
      <c r="I240" s="8"/>
      <c r="J240" s="8"/>
      <c r="K240" s="16">
        <v>17.5</v>
      </c>
      <c r="L240" s="12">
        <v>0.01</v>
      </c>
      <c r="M240" s="11">
        <f t="shared" si="3"/>
        <v>17.5</v>
      </c>
      <c r="N240" s="8" t="s">
        <v>519</v>
      </c>
    </row>
    <row r="241" ht="15" spans="1:14">
      <c r="A241" s="8">
        <v>239</v>
      </c>
      <c r="B241" s="8"/>
      <c r="C241" s="8"/>
      <c r="D241" s="8"/>
      <c r="E241" s="8" t="s">
        <v>129</v>
      </c>
      <c r="F241" s="15" t="s">
        <v>920</v>
      </c>
      <c r="G241" s="22" t="s">
        <v>921</v>
      </c>
      <c r="H241" s="15">
        <v>1</v>
      </c>
      <c r="I241" s="8"/>
      <c r="J241" s="8"/>
      <c r="K241" s="16">
        <v>29</v>
      </c>
      <c r="L241" s="12">
        <v>0.01</v>
      </c>
      <c r="M241" s="11">
        <f t="shared" si="3"/>
        <v>29</v>
      </c>
      <c r="N241" s="8" t="s">
        <v>519</v>
      </c>
    </row>
    <row r="242" ht="15" spans="1:14">
      <c r="A242" s="8">
        <v>240</v>
      </c>
      <c r="B242" s="8"/>
      <c r="C242" s="8"/>
      <c r="D242" s="8"/>
      <c r="E242" s="8" t="s">
        <v>129</v>
      </c>
      <c r="F242" s="15" t="s">
        <v>922</v>
      </c>
      <c r="G242" s="22" t="s">
        <v>923</v>
      </c>
      <c r="H242" s="15">
        <v>1</v>
      </c>
      <c r="I242" s="8"/>
      <c r="J242" s="8"/>
      <c r="K242" s="16">
        <v>16</v>
      </c>
      <c r="L242" s="12">
        <v>0.01</v>
      </c>
      <c r="M242" s="11">
        <f t="shared" si="3"/>
        <v>16</v>
      </c>
      <c r="N242" s="8" t="s">
        <v>519</v>
      </c>
    </row>
    <row r="243" ht="15" spans="1:14">
      <c r="A243" s="8">
        <v>241</v>
      </c>
      <c r="B243" s="8"/>
      <c r="C243" s="8"/>
      <c r="D243" s="8"/>
      <c r="E243" s="8" t="s">
        <v>129</v>
      </c>
      <c r="F243" s="15" t="s">
        <v>924</v>
      </c>
      <c r="G243" s="22" t="s">
        <v>925</v>
      </c>
      <c r="H243" s="15">
        <v>1</v>
      </c>
      <c r="I243" s="8"/>
      <c r="J243" s="8"/>
      <c r="K243" s="16">
        <v>7</v>
      </c>
      <c r="L243" s="12">
        <v>0.01</v>
      </c>
      <c r="M243" s="11">
        <f t="shared" si="3"/>
        <v>7</v>
      </c>
      <c r="N243" s="8" t="s">
        <v>519</v>
      </c>
    </row>
    <row r="244" ht="15" spans="1:14">
      <c r="A244" s="8">
        <v>242</v>
      </c>
      <c r="B244" s="8"/>
      <c r="C244" s="8"/>
      <c r="D244" s="8"/>
      <c r="E244" s="8" t="s">
        <v>129</v>
      </c>
      <c r="F244" s="15" t="s">
        <v>926</v>
      </c>
      <c r="G244" s="22" t="s">
        <v>927</v>
      </c>
      <c r="H244" s="15">
        <v>1</v>
      </c>
      <c r="I244" s="8"/>
      <c r="J244" s="8"/>
      <c r="K244" s="16">
        <v>14</v>
      </c>
      <c r="L244" s="12">
        <v>0.01</v>
      </c>
      <c r="M244" s="11">
        <f t="shared" si="3"/>
        <v>14</v>
      </c>
      <c r="N244" s="8" t="s">
        <v>519</v>
      </c>
    </row>
    <row r="245" ht="15" spans="1:14">
      <c r="A245" s="8">
        <v>243</v>
      </c>
      <c r="B245" s="8"/>
      <c r="C245" s="8"/>
      <c r="D245" s="8"/>
      <c r="E245" s="8" t="s">
        <v>129</v>
      </c>
      <c r="F245" s="15" t="s">
        <v>928</v>
      </c>
      <c r="G245" s="22" t="s">
        <v>929</v>
      </c>
      <c r="H245" s="15">
        <v>2</v>
      </c>
      <c r="I245" s="8"/>
      <c r="J245" s="8"/>
      <c r="K245" s="16">
        <v>3</v>
      </c>
      <c r="L245" s="12">
        <v>0.01</v>
      </c>
      <c r="M245" s="11">
        <f t="shared" si="3"/>
        <v>6</v>
      </c>
      <c r="N245" s="8" t="s">
        <v>519</v>
      </c>
    </row>
    <row r="246" ht="15" spans="1:14">
      <c r="A246" s="8">
        <v>244</v>
      </c>
      <c r="B246" s="8"/>
      <c r="C246" s="8"/>
      <c r="D246" s="8"/>
      <c r="E246" s="8" t="s">
        <v>129</v>
      </c>
      <c r="F246" s="15" t="s">
        <v>928</v>
      </c>
      <c r="G246" s="22" t="s">
        <v>930</v>
      </c>
      <c r="H246" s="15">
        <v>2</v>
      </c>
      <c r="I246" s="8"/>
      <c r="J246" s="8"/>
      <c r="K246" s="16">
        <v>7.5</v>
      </c>
      <c r="L246" s="12">
        <v>0.01</v>
      </c>
      <c r="M246" s="11">
        <f t="shared" si="3"/>
        <v>15</v>
      </c>
      <c r="N246" s="8" t="s">
        <v>519</v>
      </c>
    </row>
    <row r="247" ht="15" spans="1:14">
      <c r="A247" s="8">
        <v>245</v>
      </c>
      <c r="B247" s="8"/>
      <c r="C247" s="8"/>
      <c r="D247" s="8"/>
      <c r="E247" s="8" t="s">
        <v>129</v>
      </c>
      <c r="F247" s="15" t="s">
        <v>931</v>
      </c>
      <c r="G247" s="22" t="s">
        <v>932</v>
      </c>
      <c r="H247" s="15">
        <v>4</v>
      </c>
      <c r="I247" s="8"/>
      <c r="J247" s="8"/>
      <c r="K247" s="16">
        <v>14.3</v>
      </c>
      <c r="L247" s="12">
        <v>0.01</v>
      </c>
      <c r="M247" s="11">
        <f t="shared" si="3"/>
        <v>57.2</v>
      </c>
      <c r="N247" s="8" t="s">
        <v>519</v>
      </c>
    </row>
    <row r="248" ht="15" spans="1:14">
      <c r="A248" s="8">
        <v>246</v>
      </c>
      <c r="B248" s="8"/>
      <c r="C248" s="8"/>
      <c r="D248" s="8"/>
      <c r="E248" s="8" t="s">
        <v>129</v>
      </c>
      <c r="F248" s="15" t="s">
        <v>538</v>
      </c>
      <c r="G248" s="22"/>
      <c r="H248" s="15">
        <v>1</v>
      </c>
      <c r="I248" s="8"/>
      <c r="J248" s="8"/>
      <c r="K248" s="16">
        <v>755</v>
      </c>
      <c r="L248" s="12">
        <v>0.01</v>
      </c>
      <c r="M248" s="11">
        <f t="shared" si="3"/>
        <v>755</v>
      </c>
      <c r="N248" s="8" t="s">
        <v>519</v>
      </c>
    </row>
    <row r="249" ht="15" spans="1:14">
      <c r="A249" s="8">
        <v>247</v>
      </c>
      <c r="B249" s="8"/>
      <c r="C249" s="8"/>
      <c r="D249" s="8"/>
      <c r="E249" s="8" t="s">
        <v>129</v>
      </c>
      <c r="F249" s="15" t="s">
        <v>933</v>
      </c>
      <c r="G249" s="22" t="s">
        <v>934</v>
      </c>
      <c r="H249" s="15">
        <v>4</v>
      </c>
      <c r="I249" s="8"/>
      <c r="J249" s="8"/>
      <c r="K249" s="16">
        <v>34</v>
      </c>
      <c r="L249" s="12">
        <v>0.01</v>
      </c>
      <c r="M249" s="11">
        <f t="shared" si="3"/>
        <v>136</v>
      </c>
      <c r="N249" s="8" t="s">
        <v>519</v>
      </c>
    </row>
    <row r="250" ht="15" spans="1:14">
      <c r="A250" s="8">
        <v>248</v>
      </c>
      <c r="B250" s="8"/>
      <c r="C250" s="8"/>
      <c r="D250" s="8"/>
      <c r="E250" s="8" t="s">
        <v>129</v>
      </c>
      <c r="F250" s="15" t="s">
        <v>754</v>
      </c>
      <c r="G250" s="22" t="s">
        <v>935</v>
      </c>
      <c r="H250" s="15">
        <v>10</v>
      </c>
      <c r="I250" s="8"/>
      <c r="J250" s="8"/>
      <c r="K250" s="16">
        <v>18.5</v>
      </c>
      <c r="L250" s="12">
        <v>0.01</v>
      </c>
      <c r="M250" s="11">
        <f t="shared" si="3"/>
        <v>185</v>
      </c>
      <c r="N250" s="8" t="s">
        <v>519</v>
      </c>
    </row>
    <row r="251" ht="15" spans="1:14">
      <c r="A251" s="8">
        <v>249</v>
      </c>
      <c r="B251" s="8"/>
      <c r="C251" s="8"/>
      <c r="D251" s="8"/>
      <c r="E251" s="8" t="s">
        <v>129</v>
      </c>
      <c r="F251" s="15" t="s">
        <v>936</v>
      </c>
      <c r="G251" s="22" t="s">
        <v>937</v>
      </c>
      <c r="H251" s="15">
        <v>1</v>
      </c>
      <c r="I251" s="8"/>
      <c r="J251" s="8"/>
      <c r="K251" s="16">
        <v>37.8</v>
      </c>
      <c r="L251" s="12">
        <v>0.01</v>
      </c>
      <c r="M251" s="11">
        <f t="shared" si="3"/>
        <v>37.8</v>
      </c>
      <c r="N251" s="8" t="s">
        <v>519</v>
      </c>
    </row>
    <row r="252" ht="15" spans="1:14">
      <c r="A252" s="8">
        <v>250</v>
      </c>
      <c r="B252" s="8"/>
      <c r="C252" s="8"/>
      <c r="D252" s="8"/>
      <c r="E252" s="8" t="s">
        <v>129</v>
      </c>
      <c r="F252" s="15" t="s">
        <v>938</v>
      </c>
      <c r="G252" s="22" t="s">
        <v>939</v>
      </c>
      <c r="H252" s="15">
        <v>1</v>
      </c>
      <c r="I252" s="8"/>
      <c r="J252" s="8"/>
      <c r="K252" s="16">
        <v>275</v>
      </c>
      <c r="L252" s="12">
        <v>0.01</v>
      </c>
      <c r="M252" s="11">
        <f t="shared" si="3"/>
        <v>275</v>
      </c>
      <c r="N252" s="8" t="s">
        <v>519</v>
      </c>
    </row>
    <row r="253" ht="15" spans="1:14">
      <c r="A253" s="8">
        <v>251</v>
      </c>
      <c r="B253" s="8"/>
      <c r="C253" s="8"/>
      <c r="D253" s="8"/>
      <c r="E253" s="8" t="s">
        <v>129</v>
      </c>
      <c r="F253" s="15" t="s">
        <v>940</v>
      </c>
      <c r="G253" s="22" t="s">
        <v>941</v>
      </c>
      <c r="H253" s="15">
        <v>3</v>
      </c>
      <c r="I253" s="8"/>
      <c r="J253" s="8"/>
      <c r="K253" s="16">
        <v>39</v>
      </c>
      <c r="L253" s="12">
        <v>0.01</v>
      </c>
      <c r="M253" s="11">
        <f t="shared" si="3"/>
        <v>117</v>
      </c>
      <c r="N253" s="8" t="s">
        <v>519</v>
      </c>
    </row>
    <row r="254" ht="15" spans="1:14">
      <c r="A254" s="8">
        <v>252</v>
      </c>
      <c r="B254" s="8"/>
      <c r="C254" s="8"/>
      <c r="D254" s="8"/>
      <c r="E254" s="8" t="s">
        <v>129</v>
      </c>
      <c r="F254" s="15" t="s">
        <v>853</v>
      </c>
      <c r="G254" s="22" t="s">
        <v>942</v>
      </c>
      <c r="H254" s="15">
        <v>7</v>
      </c>
      <c r="I254" s="8"/>
      <c r="J254" s="8"/>
      <c r="K254" s="16">
        <v>28</v>
      </c>
      <c r="L254" s="12">
        <v>0.01</v>
      </c>
      <c r="M254" s="11">
        <f t="shared" si="3"/>
        <v>196</v>
      </c>
      <c r="N254" s="8" t="s">
        <v>519</v>
      </c>
    </row>
    <row r="255" ht="15" spans="1:14">
      <c r="A255" s="8">
        <v>253</v>
      </c>
      <c r="B255" s="8"/>
      <c r="C255" s="8"/>
      <c r="D255" s="8"/>
      <c r="E255" s="8" t="s">
        <v>129</v>
      </c>
      <c r="F255" s="15" t="s">
        <v>943</v>
      </c>
      <c r="G255" s="22" t="s">
        <v>944</v>
      </c>
      <c r="H255" s="15">
        <v>1</v>
      </c>
      <c r="I255" s="8"/>
      <c r="J255" s="8"/>
      <c r="K255" s="16">
        <v>6</v>
      </c>
      <c r="L255" s="12">
        <v>0.01</v>
      </c>
      <c r="M255" s="11">
        <f t="shared" si="3"/>
        <v>6</v>
      </c>
      <c r="N255" s="8" t="s">
        <v>519</v>
      </c>
    </row>
    <row r="256" ht="15" spans="1:14">
      <c r="A256" s="8">
        <v>254</v>
      </c>
      <c r="B256" s="8"/>
      <c r="C256" s="8"/>
      <c r="D256" s="8"/>
      <c r="E256" s="8" t="s">
        <v>129</v>
      </c>
      <c r="F256" s="15" t="s">
        <v>945</v>
      </c>
      <c r="G256" s="22" t="s">
        <v>946</v>
      </c>
      <c r="H256" s="15">
        <v>3</v>
      </c>
      <c r="I256" s="8"/>
      <c r="J256" s="8"/>
      <c r="K256" s="16">
        <v>27</v>
      </c>
      <c r="L256" s="12">
        <v>0.01</v>
      </c>
      <c r="M256" s="11">
        <f t="shared" si="3"/>
        <v>81</v>
      </c>
      <c r="N256" s="8" t="s">
        <v>519</v>
      </c>
    </row>
    <row r="257" ht="15" spans="1:14">
      <c r="A257" s="8">
        <v>255</v>
      </c>
      <c r="B257" s="8"/>
      <c r="C257" s="8"/>
      <c r="D257" s="8"/>
      <c r="E257" s="8" t="s">
        <v>129</v>
      </c>
      <c r="F257" s="15" t="s">
        <v>945</v>
      </c>
      <c r="G257" s="22" t="s">
        <v>947</v>
      </c>
      <c r="H257" s="15">
        <v>3</v>
      </c>
      <c r="I257" s="8"/>
      <c r="J257" s="8"/>
      <c r="K257" s="16">
        <v>14</v>
      </c>
      <c r="L257" s="12">
        <v>0.01</v>
      </c>
      <c r="M257" s="11">
        <f t="shared" si="3"/>
        <v>42</v>
      </c>
      <c r="N257" s="8" t="s">
        <v>519</v>
      </c>
    </row>
    <row r="258" ht="15" spans="1:14">
      <c r="A258" s="8">
        <v>256</v>
      </c>
      <c r="B258" s="8"/>
      <c r="C258" s="8"/>
      <c r="D258" s="8"/>
      <c r="E258" s="8" t="s">
        <v>129</v>
      </c>
      <c r="F258" s="15" t="s">
        <v>948</v>
      </c>
      <c r="G258" s="22" t="s">
        <v>949</v>
      </c>
      <c r="H258" s="15">
        <v>1</v>
      </c>
      <c r="I258" s="8"/>
      <c r="J258" s="8"/>
      <c r="K258" s="16">
        <v>13</v>
      </c>
      <c r="L258" s="12">
        <v>0.01</v>
      </c>
      <c r="M258" s="11">
        <f t="shared" si="3"/>
        <v>13</v>
      </c>
      <c r="N258" s="8" t="s">
        <v>519</v>
      </c>
    </row>
    <row r="259" ht="15" spans="1:14">
      <c r="A259" s="8">
        <v>257</v>
      </c>
      <c r="B259" s="8"/>
      <c r="C259" s="8"/>
      <c r="D259" s="8"/>
      <c r="E259" s="8" t="s">
        <v>129</v>
      </c>
      <c r="F259" s="15" t="s">
        <v>948</v>
      </c>
      <c r="G259" s="22" t="s">
        <v>950</v>
      </c>
      <c r="H259" s="15">
        <v>1</v>
      </c>
      <c r="I259" s="8"/>
      <c r="J259" s="8"/>
      <c r="K259" s="16">
        <v>14</v>
      </c>
      <c r="L259" s="12">
        <v>0.01</v>
      </c>
      <c r="M259" s="11">
        <f t="shared" si="3"/>
        <v>14</v>
      </c>
      <c r="N259" s="8" t="s">
        <v>519</v>
      </c>
    </row>
    <row r="260" ht="15" spans="1:14">
      <c r="A260" s="8">
        <v>258</v>
      </c>
      <c r="B260" s="8"/>
      <c r="C260" s="8"/>
      <c r="D260" s="8"/>
      <c r="E260" s="8" t="s">
        <v>129</v>
      </c>
      <c r="F260" s="15" t="s">
        <v>948</v>
      </c>
      <c r="G260" s="22" t="s">
        <v>951</v>
      </c>
      <c r="H260" s="15">
        <v>1</v>
      </c>
      <c r="I260" s="8"/>
      <c r="J260" s="8"/>
      <c r="K260" s="16">
        <v>17</v>
      </c>
      <c r="L260" s="12">
        <v>0.01</v>
      </c>
      <c r="M260" s="11">
        <f t="shared" ref="M260:M323" si="4">H260*K260</f>
        <v>17</v>
      </c>
      <c r="N260" s="8" t="s">
        <v>519</v>
      </c>
    </row>
    <row r="261" ht="15" spans="1:14">
      <c r="A261" s="8">
        <v>259</v>
      </c>
      <c r="B261" s="8"/>
      <c r="C261" s="8"/>
      <c r="D261" s="8"/>
      <c r="E261" s="8" t="s">
        <v>129</v>
      </c>
      <c r="F261" s="15" t="s">
        <v>952</v>
      </c>
      <c r="G261" s="22" t="s">
        <v>953</v>
      </c>
      <c r="H261" s="15">
        <v>1</v>
      </c>
      <c r="I261" s="8"/>
      <c r="J261" s="8"/>
      <c r="K261" s="16">
        <v>150</v>
      </c>
      <c r="L261" s="12">
        <v>0.01</v>
      </c>
      <c r="M261" s="11">
        <f t="shared" si="4"/>
        <v>150</v>
      </c>
      <c r="N261" s="8" t="s">
        <v>519</v>
      </c>
    </row>
    <row r="262" ht="15" spans="1:14">
      <c r="A262" s="8">
        <v>260</v>
      </c>
      <c r="B262" s="8"/>
      <c r="C262" s="8"/>
      <c r="D262" s="8"/>
      <c r="E262" s="8" t="s">
        <v>129</v>
      </c>
      <c r="F262" s="15" t="s">
        <v>938</v>
      </c>
      <c r="G262" s="22" t="s">
        <v>954</v>
      </c>
      <c r="H262" s="15">
        <v>2</v>
      </c>
      <c r="I262" s="8"/>
      <c r="J262" s="8"/>
      <c r="K262" s="16">
        <v>295</v>
      </c>
      <c r="L262" s="12">
        <v>0.01</v>
      </c>
      <c r="M262" s="11">
        <f t="shared" si="4"/>
        <v>590</v>
      </c>
      <c r="N262" s="8" t="s">
        <v>519</v>
      </c>
    </row>
    <row r="263" ht="15" spans="1:14">
      <c r="A263" s="8">
        <v>261</v>
      </c>
      <c r="B263" s="8"/>
      <c r="C263" s="8"/>
      <c r="D263" s="8"/>
      <c r="E263" s="8" t="s">
        <v>129</v>
      </c>
      <c r="F263" s="15" t="s">
        <v>955</v>
      </c>
      <c r="G263" s="22" t="s">
        <v>956</v>
      </c>
      <c r="H263" s="15">
        <v>16</v>
      </c>
      <c r="I263" s="8"/>
      <c r="J263" s="8"/>
      <c r="K263" s="16">
        <v>14</v>
      </c>
      <c r="L263" s="12">
        <v>0.01</v>
      </c>
      <c r="M263" s="11">
        <f t="shared" si="4"/>
        <v>224</v>
      </c>
      <c r="N263" s="8" t="s">
        <v>519</v>
      </c>
    </row>
    <row r="264" ht="15" spans="1:14">
      <c r="A264" s="8">
        <v>262</v>
      </c>
      <c r="B264" s="8"/>
      <c r="C264" s="8"/>
      <c r="D264" s="8"/>
      <c r="E264" s="8" t="s">
        <v>129</v>
      </c>
      <c r="F264" s="15" t="s">
        <v>910</v>
      </c>
      <c r="G264" s="22" t="s">
        <v>957</v>
      </c>
      <c r="H264" s="15">
        <v>1</v>
      </c>
      <c r="I264" s="8"/>
      <c r="J264" s="8"/>
      <c r="K264" s="16">
        <v>118</v>
      </c>
      <c r="L264" s="12">
        <v>0.01</v>
      </c>
      <c r="M264" s="11">
        <f t="shared" si="4"/>
        <v>118</v>
      </c>
      <c r="N264" s="8" t="s">
        <v>519</v>
      </c>
    </row>
    <row r="265" ht="15" spans="1:14">
      <c r="A265" s="8">
        <v>263</v>
      </c>
      <c r="B265" s="8"/>
      <c r="C265" s="8"/>
      <c r="D265" s="8"/>
      <c r="E265" s="8" t="s">
        <v>129</v>
      </c>
      <c r="F265" s="15" t="s">
        <v>958</v>
      </c>
      <c r="G265" s="22"/>
      <c r="H265" s="15">
        <v>1</v>
      </c>
      <c r="I265" s="8"/>
      <c r="J265" s="8"/>
      <c r="K265" s="16">
        <v>296</v>
      </c>
      <c r="L265" s="12">
        <v>0.01</v>
      </c>
      <c r="M265" s="11">
        <f t="shared" si="4"/>
        <v>296</v>
      </c>
      <c r="N265" s="8" t="s">
        <v>519</v>
      </c>
    </row>
    <row r="266" ht="15" spans="1:14">
      <c r="A266" s="8">
        <v>264</v>
      </c>
      <c r="B266" s="8"/>
      <c r="C266" s="8"/>
      <c r="D266" s="8"/>
      <c r="E266" s="8" t="s">
        <v>129</v>
      </c>
      <c r="F266" s="15" t="s">
        <v>959</v>
      </c>
      <c r="G266" s="22" t="s">
        <v>960</v>
      </c>
      <c r="H266" s="15">
        <v>1</v>
      </c>
      <c r="I266" s="8"/>
      <c r="J266" s="8"/>
      <c r="K266" s="16">
        <v>10</v>
      </c>
      <c r="L266" s="12">
        <v>0.01</v>
      </c>
      <c r="M266" s="11">
        <f t="shared" si="4"/>
        <v>10</v>
      </c>
      <c r="N266" s="8" t="s">
        <v>519</v>
      </c>
    </row>
    <row r="267" ht="15" spans="1:14">
      <c r="A267" s="8">
        <v>265</v>
      </c>
      <c r="B267" s="8"/>
      <c r="C267" s="8"/>
      <c r="D267" s="8"/>
      <c r="E267" s="8" t="s">
        <v>129</v>
      </c>
      <c r="F267" s="15" t="s">
        <v>636</v>
      </c>
      <c r="G267" s="22" t="s">
        <v>960</v>
      </c>
      <c r="H267" s="15">
        <v>1</v>
      </c>
      <c r="I267" s="8"/>
      <c r="J267" s="8"/>
      <c r="K267" s="16">
        <v>18</v>
      </c>
      <c r="L267" s="12">
        <v>0.01</v>
      </c>
      <c r="M267" s="11">
        <f t="shared" si="4"/>
        <v>18</v>
      </c>
      <c r="N267" s="8" t="s">
        <v>519</v>
      </c>
    </row>
    <row r="268" ht="15" spans="1:14">
      <c r="A268" s="8">
        <v>266</v>
      </c>
      <c r="B268" s="8"/>
      <c r="C268" s="8"/>
      <c r="D268" s="8"/>
      <c r="E268" s="8" t="s">
        <v>129</v>
      </c>
      <c r="F268" s="15" t="s">
        <v>961</v>
      </c>
      <c r="G268" s="22"/>
      <c r="H268" s="15">
        <v>1</v>
      </c>
      <c r="I268" s="8"/>
      <c r="J268" s="8"/>
      <c r="K268" s="16">
        <v>32</v>
      </c>
      <c r="L268" s="12">
        <v>0.01</v>
      </c>
      <c r="M268" s="11">
        <f t="shared" si="4"/>
        <v>32</v>
      </c>
      <c r="N268" s="8" t="s">
        <v>519</v>
      </c>
    </row>
    <row r="269" ht="15" spans="1:14">
      <c r="A269" s="8">
        <v>267</v>
      </c>
      <c r="B269" s="8"/>
      <c r="C269" s="8"/>
      <c r="D269" s="8"/>
      <c r="E269" s="8" t="s">
        <v>129</v>
      </c>
      <c r="F269" s="15" t="s">
        <v>962</v>
      </c>
      <c r="G269" s="22" t="s">
        <v>963</v>
      </c>
      <c r="H269" s="15">
        <v>1</v>
      </c>
      <c r="I269" s="8"/>
      <c r="J269" s="8"/>
      <c r="K269" s="16">
        <v>52</v>
      </c>
      <c r="L269" s="12">
        <v>0.01</v>
      </c>
      <c r="M269" s="11">
        <f t="shared" si="4"/>
        <v>52</v>
      </c>
      <c r="N269" s="8" t="s">
        <v>519</v>
      </c>
    </row>
    <row r="270" ht="15" spans="1:14">
      <c r="A270" s="8">
        <v>268</v>
      </c>
      <c r="B270" s="8"/>
      <c r="C270" s="8"/>
      <c r="D270" s="8"/>
      <c r="E270" s="8" t="s">
        <v>129</v>
      </c>
      <c r="F270" s="15" t="s">
        <v>638</v>
      </c>
      <c r="G270" s="22" t="s">
        <v>964</v>
      </c>
      <c r="H270" s="15">
        <v>1</v>
      </c>
      <c r="I270" s="8"/>
      <c r="J270" s="8"/>
      <c r="K270" s="16">
        <v>96</v>
      </c>
      <c r="L270" s="12">
        <v>0.01</v>
      </c>
      <c r="M270" s="11">
        <f t="shared" si="4"/>
        <v>96</v>
      </c>
      <c r="N270" s="8" t="s">
        <v>519</v>
      </c>
    </row>
    <row r="271" ht="15" spans="1:14">
      <c r="A271" s="8">
        <v>269</v>
      </c>
      <c r="B271" s="8"/>
      <c r="C271" s="8"/>
      <c r="D271" s="8"/>
      <c r="E271" s="8" t="s">
        <v>129</v>
      </c>
      <c r="F271" s="15" t="s">
        <v>965</v>
      </c>
      <c r="G271" s="22" t="s">
        <v>966</v>
      </c>
      <c r="H271" s="15">
        <v>1</v>
      </c>
      <c r="I271" s="8"/>
      <c r="J271" s="8"/>
      <c r="K271" s="16">
        <v>55</v>
      </c>
      <c r="L271" s="12">
        <v>0.01</v>
      </c>
      <c r="M271" s="11">
        <f t="shared" si="4"/>
        <v>55</v>
      </c>
      <c r="N271" s="8" t="s">
        <v>519</v>
      </c>
    </row>
    <row r="272" ht="15" spans="1:14">
      <c r="A272" s="8">
        <v>270</v>
      </c>
      <c r="B272" s="8"/>
      <c r="C272" s="8"/>
      <c r="D272" s="8"/>
      <c r="E272" s="8" t="s">
        <v>129</v>
      </c>
      <c r="F272" s="15" t="s">
        <v>967</v>
      </c>
      <c r="G272" s="22" t="s">
        <v>968</v>
      </c>
      <c r="H272" s="15">
        <v>1</v>
      </c>
      <c r="I272" s="8"/>
      <c r="J272" s="8"/>
      <c r="K272" s="16">
        <v>80</v>
      </c>
      <c r="L272" s="12">
        <v>0.01</v>
      </c>
      <c r="M272" s="11">
        <f t="shared" si="4"/>
        <v>80</v>
      </c>
      <c r="N272" s="8" t="s">
        <v>519</v>
      </c>
    </row>
    <row r="273" ht="15" spans="1:14">
      <c r="A273" s="8">
        <v>271</v>
      </c>
      <c r="B273" s="8"/>
      <c r="C273" s="8"/>
      <c r="D273" s="8"/>
      <c r="E273" s="8" t="s">
        <v>129</v>
      </c>
      <c r="F273" s="15" t="s">
        <v>969</v>
      </c>
      <c r="G273" s="22" t="s">
        <v>970</v>
      </c>
      <c r="H273" s="15">
        <v>2</v>
      </c>
      <c r="I273" s="8"/>
      <c r="J273" s="8"/>
      <c r="K273" s="16">
        <v>8</v>
      </c>
      <c r="L273" s="12">
        <v>0.01</v>
      </c>
      <c r="M273" s="11">
        <f t="shared" si="4"/>
        <v>16</v>
      </c>
      <c r="N273" s="8" t="s">
        <v>519</v>
      </c>
    </row>
    <row r="274" ht="15" spans="1:14">
      <c r="A274" s="8">
        <v>272</v>
      </c>
      <c r="B274" s="8"/>
      <c r="C274" s="8"/>
      <c r="D274" s="8"/>
      <c r="E274" s="8" t="s">
        <v>129</v>
      </c>
      <c r="F274" s="15" t="s">
        <v>971</v>
      </c>
      <c r="G274" s="22" t="s">
        <v>972</v>
      </c>
      <c r="H274" s="15">
        <v>1</v>
      </c>
      <c r="I274" s="8"/>
      <c r="J274" s="8"/>
      <c r="K274" s="16">
        <v>475</v>
      </c>
      <c r="L274" s="12">
        <v>0.01</v>
      </c>
      <c r="M274" s="11">
        <f t="shared" si="4"/>
        <v>475</v>
      </c>
      <c r="N274" s="8" t="s">
        <v>519</v>
      </c>
    </row>
    <row r="275" ht="15" spans="1:14">
      <c r="A275" s="8">
        <v>273</v>
      </c>
      <c r="B275" s="8"/>
      <c r="C275" s="8"/>
      <c r="D275" s="8"/>
      <c r="E275" s="8" t="s">
        <v>129</v>
      </c>
      <c r="F275" s="15" t="s">
        <v>973</v>
      </c>
      <c r="G275" s="22" t="s">
        <v>974</v>
      </c>
      <c r="H275" s="15">
        <v>1</v>
      </c>
      <c r="I275" s="8"/>
      <c r="J275" s="8"/>
      <c r="K275" s="16">
        <v>570</v>
      </c>
      <c r="L275" s="12">
        <v>0.01</v>
      </c>
      <c r="M275" s="11">
        <f t="shared" si="4"/>
        <v>570</v>
      </c>
      <c r="N275" s="8" t="s">
        <v>519</v>
      </c>
    </row>
    <row r="276" ht="15" spans="1:14">
      <c r="A276" s="8">
        <v>274</v>
      </c>
      <c r="B276" s="8"/>
      <c r="C276" s="8"/>
      <c r="D276" s="8"/>
      <c r="E276" s="8" t="s">
        <v>129</v>
      </c>
      <c r="F276" s="15" t="s">
        <v>973</v>
      </c>
      <c r="G276" s="22" t="s">
        <v>975</v>
      </c>
      <c r="H276" s="15">
        <v>1</v>
      </c>
      <c r="I276" s="8"/>
      <c r="J276" s="8"/>
      <c r="K276" s="15">
        <v>355</v>
      </c>
      <c r="L276" s="12">
        <v>0.01</v>
      </c>
      <c r="M276" s="11">
        <f t="shared" si="4"/>
        <v>355</v>
      </c>
      <c r="N276" s="8" t="s">
        <v>519</v>
      </c>
    </row>
    <row r="277" ht="15" spans="1:14">
      <c r="A277" s="8">
        <v>275</v>
      </c>
      <c r="B277" s="8"/>
      <c r="C277" s="8"/>
      <c r="D277" s="8"/>
      <c r="E277" s="8" t="s">
        <v>129</v>
      </c>
      <c r="F277" s="15" t="s">
        <v>976</v>
      </c>
      <c r="G277" s="22" t="s">
        <v>977</v>
      </c>
      <c r="H277" s="15">
        <v>1</v>
      </c>
      <c r="I277" s="8"/>
      <c r="J277" s="8"/>
      <c r="K277" s="15">
        <v>44</v>
      </c>
      <c r="L277" s="12">
        <v>0.01</v>
      </c>
      <c r="M277" s="11">
        <f t="shared" si="4"/>
        <v>44</v>
      </c>
      <c r="N277" s="8" t="s">
        <v>519</v>
      </c>
    </row>
    <row r="278" ht="15" spans="1:14">
      <c r="A278" s="8">
        <v>276</v>
      </c>
      <c r="B278" s="8"/>
      <c r="C278" s="8"/>
      <c r="D278" s="8"/>
      <c r="E278" s="8" t="s">
        <v>129</v>
      </c>
      <c r="F278" s="15" t="s">
        <v>806</v>
      </c>
      <c r="G278" s="22" t="s">
        <v>978</v>
      </c>
      <c r="H278" s="15">
        <v>100</v>
      </c>
      <c r="I278" s="8"/>
      <c r="J278" s="8"/>
      <c r="K278" s="15">
        <v>1.65</v>
      </c>
      <c r="L278" s="12">
        <v>0.01</v>
      </c>
      <c r="M278" s="11">
        <f t="shared" si="4"/>
        <v>165</v>
      </c>
      <c r="N278" s="8" t="s">
        <v>519</v>
      </c>
    </row>
    <row r="279" ht="15" spans="1:14">
      <c r="A279" s="8">
        <v>277</v>
      </c>
      <c r="B279" s="8"/>
      <c r="C279" s="8"/>
      <c r="D279" s="8"/>
      <c r="E279" s="8" t="s">
        <v>129</v>
      </c>
      <c r="F279" s="15" t="s">
        <v>734</v>
      </c>
      <c r="G279" s="22"/>
      <c r="H279" s="15">
        <v>40</v>
      </c>
      <c r="I279" s="8"/>
      <c r="J279" s="8"/>
      <c r="K279" s="16">
        <v>23</v>
      </c>
      <c r="L279" s="12">
        <v>0.01</v>
      </c>
      <c r="M279" s="11">
        <f t="shared" si="4"/>
        <v>920</v>
      </c>
      <c r="N279" s="8" t="s">
        <v>519</v>
      </c>
    </row>
    <row r="280" ht="30" spans="1:14">
      <c r="A280" s="8">
        <v>278</v>
      </c>
      <c r="B280" s="8"/>
      <c r="C280" s="8"/>
      <c r="D280" s="8"/>
      <c r="E280" s="8" t="s">
        <v>129</v>
      </c>
      <c r="F280" s="15" t="s">
        <v>600</v>
      </c>
      <c r="G280" s="22" t="s">
        <v>979</v>
      </c>
      <c r="H280" s="15">
        <v>100</v>
      </c>
      <c r="I280" s="8"/>
      <c r="J280" s="8"/>
      <c r="K280" s="16">
        <v>2.5</v>
      </c>
      <c r="L280" s="12">
        <v>0.01</v>
      </c>
      <c r="M280" s="11">
        <f t="shared" si="4"/>
        <v>250</v>
      </c>
      <c r="N280" s="8" t="s">
        <v>519</v>
      </c>
    </row>
    <row r="281" ht="15" spans="1:14">
      <c r="A281" s="8">
        <v>279</v>
      </c>
      <c r="B281" s="8"/>
      <c r="C281" s="8"/>
      <c r="D281" s="8"/>
      <c r="E281" s="8" t="s">
        <v>129</v>
      </c>
      <c r="F281" s="15" t="s">
        <v>851</v>
      </c>
      <c r="G281" s="22" t="s">
        <v>980</v>
      </c>
      <c r="H281" s="15">
        <v>5</v>
      </c>
      <c r="I281" s="8"/>
      <c r="J281" s="8"/>
      <c r="K281" s="16">
        <v>10</v>
      </c>
      <c r="L281" s="12">
        <v>0.01</v>
      </c>
      <c r="M281" s="11">
        <f t="shared" si="4"/>
        <v>50</v>
      </c>
      <c r="N281" s="8" t="s">
        <v>519</v>
      </c>
    </row>
    <row r="282" ht="15" spans="1:14">
      <c r="A282" s="8">
        <v>280</v>
      </c>
      <c r="B282" s="8"/>
      <c r="C282" s="8"/>
      <c r="D282" s="8"/>
      <c r="E282" s="8" t="s">
        <v>129</v>
      </c>
      <c r="F282" s="15" t="s">
        <v>981</v>
      </c>
      <c r="G282" s="22"/>
      <c r="H282" s="15">
        <v>3</v>
      </c>
      <c r="I282" s="8"/>
      <c r="J282" s="8"/>
      <c r="K282" s="16">
        <v>8</v>
      </c>
      <c r="L282" s="12">
        <v>0.01</v>
      </c>
      <c r="M282" s="11">
        <f t="shared" si="4"/>
        <v>24</v>
      </c>
      <c r="N282" s="8" t="s">
        <v>519</v>
      </c>
    </row>
    <row r="283" ht="15" spans="1:14">
      <c r="A283" s="8">
        <v>281</v>
      </c>
      <c r="B283" s="8"/>
      <c r="C283" s="8"/>
      <c r="D283" s="8"/>
      <c r="E283" s="8" t="s">
        <v>129</v>
      </c>
      <c r="F283" s="15" t="s">
        <v>982</v>
      </c>
      <c r="G283" s="22" t="s">
        <v>983</v>
      </c>
      <c r="H283" s="15">
        <v>1</v>
      </c>
      <c r="I283" s="8"/>
      <c r="J283" s="8"/>
      <c r="K283" s="16">
        <v>15</v>
      </c>
      <c r="L283" s="12">
        <v>0.01</v>
      </c>
      <c r="M283" s="11">
        <f t="shared" si="4"/>
        <v>15</v>
      </c>
      <c r="N283" s="8" t="s">
        <v>519</v>
      </c>
    </row>
    <row r="284" ht="15" spans="1:14">
      <c r="A284" s="8">
        <v>282</v>
      </c>
      <c r="B284" s="8"/>
      <c r="C284" s="8"/>
      <c r="D284" s="8"/>
      <c r="E284" s="8" t="s">
        <v>129</v>
      </c>
      <c r="F284" s="15" t="s">
        <v>984</v>
      </c>
      <c r="G284" s="22" t="s">
        <v>985</v>
      </c>
      <c r="H284" s="15">
        <v>1</v>
      </c>
      <c r="I284" s="8"/>
      <c r="J284" s="8"/>
      <c r="K284" s="16">
        <v>40</v>
      </c>
      <c r="L284" s="12">
        <v>0.01</v>
      </c>
      <c r="M284" s="11">
        <f t="shared" si="4"/>
        <v>40</v>
      </c>
      <c r="N284" s="8" t="s">
        <v>519</v>
      </c>
    </row>
    <row r="285" ht="15" spans="1:14">
      <c r="A285" s="8">
        <v>283</v>
      </c>
      <c r="B285" s="8"/>
      <c r="C285" s="8"/>
      <c r="D285" s="8"/>
      <c r="E285" s="8" t="s">
        <v>129</v>
      </c>
      <c r="F285" s="15" t="s">
        <v>986</v>
      </c>
      <c r="G285" s="22" t="s">
        <v>987</v>
      </c>
      <c r="H285" s="15">
        <v>1</v>
      </c>
      <c r="I285" s="8"/>
      <c r="J285" s="8"/>
      <c r="K285" s="16">
        <v>18</v>
      </c>
      <c r="L285" s="12">
        <v>0.01</v>
      </c>
      <c r="M285" s="11">
        <f t="shared" si="4"/>
        <v>18</v>
      </c>
      <c r="N285" s="8" t="s">
        <v>519</v>
      </c>
    </row>
    <row r="286" ht="15" spans="1:14">
      <c r="A286" s="8">
        <v>284</v>
      </c>
      <c r="B286" s="8"/>
      <c r="C286" s="8"/>
      <c r="D286" s="8"/>
      <c r="E286" s="8" t="s">
        <v>129</v>
      </c>
      <c r="F286" s="15" t="s">
        <v>988</v>
      </c>
      <c r="G286" s="22"/>
      <c r="H286" s="15">
        <v>1</v>
      </c>
      <c r="I286" s="8"/>
      <c r="J286" s="8"/>
      <c r="K286" s="16">
        <v>20</v>
      </c>
      <c r="L286" s="12">
        <v>0.01</v>
      </c>
      <c r="M286" s="11">
        <f t="shared" si="4"/>
        <v>20</v>
      </c>
      <c r="N286" s="8" t="s">
        <v>519</v>
      </c>
    </row>
    <row r="287" ht="30" spans="1:14">
      <c r="A287" s="8">
        <v>285</v>
      </c>
      <c r="B287" s="8"/>
      <c r="C287" s="8"/>
      <c r="D287" s="8"/>
      <c r="E287" s="8" t="s">
        <v>129</v>
      </c>
      <c r="F287" s="15" t="s">
        <v>831</v>
      </c>
      <c r="G287" s="22" t="s">
        <v>989</v>
      </c>
      <c r="H287" s="15">
        <v>5</v>
      </c>
      <c r="I287" s="8"/>
      <c r="J287" s="8"/>
      <c r="K287" s="16">
        <v>4</v>
      </c>
      <c r="L287" s="12">
        <v>0.01</v>
      </c>
      <c r="M287" s="11">
        <f t="shared" si="4"/>
        <v>20</v>
      </c>
      <c r="N287" s="8" t="s">
        <v>519</v>
      </c>
    </row>
    <row r="288" ht="30" spans="1:14">
      <c r="A288" s="8">
        <v>286</v>
      </c>
      <c r="B288" s="8"/>
      <c r="C288" s="8"/>
      <c r="D288" s="8"/>
      <c r="E288" s="8" t="s">
        <v>129</v>
      </c>
      <c r="F288" s="15" t="s">
        <v>831</v>
      </c>
      <c r="G288" s="22" t="s">
        <v>990</v>
      </c>
      <c r="H288" s="15">
        <v>5</v>
      </c>
      <c r="I288" s="8"/>
      <c r="J288" s="8"/>
      <c r="K288" s="16">
        <v>3.5</v>
      </c>
      <c r="L288" s="12">
        <v>0.01</v>
      </c>
      <c r="M288" s="11">
        <f t="shared" si="4"/>
        <v>17.5</v>
      </c>
      <c r="N288" s="8" t="s">
        <v>519</v>
      </c>
    </row>
    <row r="289" ht="30" spans="1:14">
      <c r="A289" s="8">
        <v>287</v>
      </c>
      <c r="B289" s="8"/>
      <c r="C289" s="8"/>
      <c r="D289" s="8"/>
      <c r="E289" s="8" t="s">
        <v>129</v>
      </c>
      <c r="F289" s="15" t="s">
        <v>831</v>
      </c>
      <c r="G289" s="22" t="s">
        <v>991</v>
      </c>
      <c r="H289" s="15">
        <v>10</v>
      </c>
      <c r="I289" s="8"/>
      <c r="J289" s="8"/>
      <c r="K289" s="16">
        <v>3</v>
      </c>
      <c r="L289" s="12">
        <v>0.01</v>
      </c>
      <c r="M289" s="11">
        <f t="shared" si="4"/>
        <v>30</v>
      </c>
      <c r="N289" s="8" t="s">
        <v>519</v>
      </c>
    </row>
    <row r="290" ht="30" spans="1:14">
      <c r="A290" s="8">
        <v>288</v>
      </c>
      <c r="B290" s="8"/>
      <c r="C290" s="8"/>
      <c r="D290" s="8"/>
      <c r="E290" s="8" t="s">
        <v>129</v>
      </c>
      <c r="F290" s="15" t="s">
        <v>831</v>
      </c>
      <c r="G290" s="22" t="s">
        <v>992</v>
      </c>
      <c r="H290" s="15">
        <v>15</v>
      </c>
      <c r="I290" s="8"/>
      <c r="J290" s="8"/>
      <c r="K290" s="16">
        <v>2.8</v>
      </c>
      <c r="L290" s="12">
        <v>0.01</v>
      </c>
      <c r="M290" s="11">
        <f t="shared" si="4"/>
        <v>42</v>
      </c>
      <c r="N290" s="8" t="s">
        <v>519</v>
      </c>
    </row>
    <row r="291" ht="30" spans="1:14">
      <c r="A291" s="8">
        <v>289</v>
      </c>
      <c r="B291" s="8"/>
      <c r="C291" s="8"/>
      <c r="D291" s="8"/>
      <c r="E291" s="8" t="s">
        <v>129</v>
      </c>
      <c r="F291" s="15" t="s">
        <v>831</v>
      </c>
      <c r="G291" s="22" t="s">
        <v>993</v>
      </c>
      <c r="H291" s="15">
        <v>2</v>
      </c>
      <c r="I291" s="8"/>
      <c r="J291" s="8"/>
      <c r="K291" s="16">
        <v>5.5</v>
      </c>
      <c r="L291" s="12">
        <v>0.01</v>
      </c>
      <c r="M291" s="11">
        <f t="shared" si="4"/>
        <v>11</v>
      </c>
      <c r="N291" s="8" t="s">
        <v>519</v>
      </c>
    </row>
    <row r="292" ht="30" spans="1:14">
      <c r="A292" s="8">
        <v>290</v>
      </c>
      <c r="B292" s="8"/>
      <c r="C292" s="8"/>
      <c r="D292" s="8"/>
      <c r="E292" s="8" t="s">
        <v>129</v>
      </c>
      <c r="F292" s="15" t="s">
        <v>831</v>
      </c>
      <c r="G292" s="22" t="s">
        <v>994</v>
      </c>
      <c r="H292" s="15">
        <v>5</v>
      </c>
      <c r="I292" s="8"/>
      <c r="J292" s="8"/>
      <c r="K292" s="16">
        <v>3</v>
      </c>
      <c r="L292" s="12">
        <v>0.01</v>
      </c>
      <c r="M292" s="11">
        <f t="shared" si="4"/>
        <v>15</v>
      </c>
      <c r="N292" s="8" t="s">
        <v>519</v>
      </c>
    </row>
    <row r="293" ht="30" spans="1:14">
      <c r="A293" s="8">
        <v>291</v>
      </c>
      <c r="B293" s="8"/>
      <c r="C293" s="8"/>
      <c r="D293" s="8"/>
      <c r="E293" s="8" t="s">
        <v>129</v>
      </c>
      <c r="F293" s="15" t="s">
        <v>831</v>
      </c>
      <c r="G293" s="22" t="s">
        <v>995</v>
      </c>
      <c r="H293" s="15">
        <v>5</v>
      </c>
      <c r="I293" s="8"/>
      <c r="J293" s="8"/>
      <c r="K293" s="16">
        <v>2.8</v>
      </c>
      <c r="L293" s="12">
        <v>0.01</v>
      </c>
      <c r="M293" s="11">
        <f t="shared" si="4"/>
        <v>14</v>
      </c>
      <c r="N293" s="8" t="s">
        <v>519</v>
      </c>
    </row>
    <row r="294" ht="15" spans="1:14">
      <c r="A294" s="8">
        <v>292</v>
      </c>
      <c r="B294" s="8"/>
      <c r="C294" s="8"/>
      <c r="D294" s="8"/>
      <c r="E294" s="8" t="s">
        <v>129</v>
      </c>
      <c r="F294" s="15" t="s">
        <v>996</v>
      </c>
      <c r="G294" s="22" t="s">
        <v>997</v>
      </c>
      <c r="H294" s="15">
        <v>3</v>
      </c>
      <c r="I294" s="8"/>
      <c r="J294" s="8"/>
      <c r="K294" s="16">
        <v>42</v>
      </c>
      <c r="L294" s="12">
        <v>0.01</v>
      </c>
      <c r="M294" s="11">
        <f t="shared" si="4"/>
        <v>126</v>
      </c>
      <c r="N294" s="8" t="s">
        <v>519</v>
      </c>
    </row>
    <row r="295" ht="30" spans="1:14">
      <c r="A295" s="8">
        <v>293</v>
      </c>
      <c r="B295" s="8"/>
      <c r="C295" s="8"/>
      <c r="D295" s="8"/>
      <c r="E295" s="8" t="s">
        <v>129</v>
      </c>
      <c r="F295" s="15" t="s">
        <v>623</v>
      </c>
      <c r="G295" s="22" t="s">
        <v>998</v>
      </c>
      <c r="H295" s="15">
        <v>1</v>
      </c>
      <c r="I295" s="8"/>
      <c r="J295" s="8"/>
      <c r="K295" s="16">
        <v>39.5</v>
      </c>
      <c r="L295" s="12">
        <v>0.01</v>
      </c>
      <c r="M295" s="11">
        <f t="shared" si="4"/>
        <v>39.5</v>
      </c>
      <c r="N295" s="8" t="s">
        <v>519</v>
      </c>
    </row>
    <row r="296" ht="15" spans="1:14">
      <c r="A296" s="8">
        <v>294</v>
      </c>
      <c r="B296" s="8"/>
      <c r="C296" s="8"/>
      <c r="D296" s="8"/>
      <c r="E296" s="8" t="s">
        <v>129</v>
      </c>
      <c r="F296" s="15" t="s">
        <v>999</v>
      </c>
      <c r="G296" s="22" t="s">
        <v>1000</v>
      </c>
      <c r="H296" s="15">
        <v>1</v>
      </c>
      <c r="I296" s="8"/>
      <c r="J296" s="8"/>
      <c r="K296" s="16">
        <v>815</v>
      </c>
      <c r="L296" s="12">
        <v>0.01</v>
      </c>
      <c r="M296" s="11">
        <f t="shared" si="4"/>
        <v>815</v>
      </c>
      <c r="N296" s="8" t="s">
        <v>519</v>
      </c>
    </row>
    <row r="297" ht="15" spans="1:14">
      <c r="A297" s="8">
        <v>295</v>
      </c>
      <c r="B297" s="8"/>
      <c r="C297" s="8"/>
      <c r="D297" s="8"/>
      <c r="E297" s="8" t="s">
        <v>129</v>
      </c>
      <c r="F297" s="15" t="s">
        <v>1001</v>
      </c>
      <c r="G297" s="22" t="s">
        <v>1002</v>
      </c>
      <c r="H297" s="15">
        <v>1</v>
      </c>
      <c r="I297" s="8"/>
      <c r="J297" s="8"/>
      <c r="K297" s="16">
        <v>170</v>
      </c>
      <c r="L297" s="12">
        <v>0.01</v>
      </c>
      <c r="M297" s="11">
        <f t="shared" si="4"/>
        <v>170</v>
      </c>
      <c r="N297" s="8" t="s">
        <v>519</v>
      </c>
    </row>
    <row r="298" ht="30" spans="1:14">
      <c r="A298" s="8">
        <v>296</v>
      </c>
      <c r="B298" s="8"/>
      <c r="C298" s="8"/>
      <c r="D298" s="8"/>
      <c r="E298" s="8" t="s">
        <v>129</v>
      </c>
      <c r="F298" s="15" t="s">
        <v>1003</v>
      </c>
      <c r="G298" s="22" t="s">
        <v>1004</v>
      </c>
      <c r="H298" s="15">
        <v>3</v>
      </c>
      <c r="I298" s="8"/>
      <c r="J298" s="8"/>
      <c r="K298" s="16">
        <v>18</v>
      </c>
      <c r="L298" s="12">
        <v>0.01</v>
      </c>
      <c r="M298" s="11">
        <f t="shared" si="4"/>
        <v>54</v>
      </c>
      <c r="N298" s="8" t="s">
        <v>519</v>
      </c>
    </row>
    <row r="299" ht="15" spans="1:14">
      <c r="A299" s="8">
        <v>297</v>
      </c>
      <c r="B299" s="8"/>
      <c r="C299" s="8"/>
      <c r="D299" s="8"/>
      <c r="E299" s="8" t="s">
        <v>129</v>
      </c>
      <c r="F299" s="15" t="s">
        <v>1005</v>
      </c>
      <c r="G299" s="22" t="s">
        <v>1006</v>
      </c>
      <c r="H299" s="15">
        <v>1</v>
      </c>
      <c r="I299" s="8"/>
      <c r="J299" s="8"/>
      <c r="K299" s="16">
        <v>145</v>
      </c>
      <c r="L299" s="12">
        <v>0.01</v>
      </c>
      <c r="M299" s="11">
        <f t="shared" si="4"/>
        <v>145</v>
      </c>
      <c r="N299" s="8" t="s">
        <v>519</v>
      </c>
    </row>
    <row r="300" ht="15" spans="1:14">
      <c r="A300" s="8">
        <v>298</v>
      </c>
      <c r="B300" s="8"/>
      <c r="C300" s="8"/>
      <c r="D300" s="8"/>
      <c r="E300" s="8" t="s">
        <v>129</v>
      </c>
      <c r="F300" s="15" t="s">
        <v>1007</v>
      </c>
      <c r="G300" s="22" t="s">
        <v>1008</v>
      </c>
      <c r="H300" s="15">
        <v>2</v>
      </c>
      <c r="I300" s="8"/>
      <c r="J300" s="8"/>
      <c r="K300" s="16">
        <v>48</v>
      </c>
      <c r="L300" s="12">
        <v>0.01</v>
      </c>
      <c r="M300" s="11">
        <f t="shared" si="4"/>
        <v>96</v>
      </c>
      <c r="N300" s="8" t="s">
        <v>519</v>
      </c>
    </row>
    <row r="301" ht="15" spans="1:14">
      <c r="A301" s="8">
        <v>299</v>
      </c>
      <c r="B301" s="8"/>
      <c r="C301" s="8"/>
      <c r="D301" s="8"/>
      <c r="E301" s="8" t="s">
        <v>129</v>
      </c>
      <c r="F301" s="15" t="s">
        <v>1009</v>
      </c>
      <c r="G301" s="22" t="s">
        <v>1010</v>
      </c>
      <c r="H301" s="15">
        <v>1</v>
      </c>
      <c r="I301" s="8"/>
      <c r="J301" s="8"/>
      <c r="K301" s="16">
        <v>53</v>
      </c>
      <c r="L301" s="12">
        <v>0.01</v>
      </c>
      <c r="M301" s="11">
        <f t="shared" si="4"/>
        <v>53</v>
      </c>
      <c r="N301" s="8" t="s">
        <v>519</v>
      </c>
    </row>
    <row r="302" ht="15" spans="1:14">
      <c r="A302" s="8">
        <v>300</v>
      </c>
      <c r="B302" s="8"/>
      <c r="C302" s="8"/>
      <c r="D302" s="8"/>
      <c r="E302" s="8" t="s">
        <v>129</v>
      </c>
      <c r="F302" s="15" t="s">
        <v>1011</v>
      </c>
      <c r="G302" s="22" t="s">
        <v>1012</v>
      </c>
      <c r="H302" s="15">
        <v>1</v>
      </c>
      <c r="I302" s="8"/>
      <c r="J302" s="8"/>
      <c r="K302" s="16">
        <v>205</v>
      </c>
      <c r="L302" s="12">
        <v>0.01</v>
      </c>
      <c r="M302" s="11">
        <f t="shared" si="4"/>
        <v>205</v>
      </c>
      <c r="N302" s="8" t="s">
        <v>519</v>
      </c>
    </row>
    <row r="303" ht="15" spans="1:14">
      <c r="A303" s="8">
        <v>301</v>
      </c>
      <c r="B303" s="8"/>
      <c r="C303" s="8"/>
      <c r="D303" s="8"/>
      <c r="E303" s="23" t="s">
        <v>129</v>
      </c>
      <c r="F303" s="24" t="s">
        <v>1013</v>
      </c>
      <c r="G303" s="25" t="s">
        <v>1014</v>
      </c>
      <c r="H303" s="24">
        <v>1</v>
      </c>
      <c r="I303" s="8"/>
      <c r="J303" s="8"/>
      <c r="K303" s="26">
        <v>24</v>
      </c>
      <c r="L303" s="27">
        <v>0.01</v>
      </c>
      <c r="M303" s="28">
        <f t="shared" si="4"/>
        <v>24</v>
      </c>
      <c r="N303" s="23" t="s">
        <v>519</v>
      </c>
    </row>
    <row r="304" ht="15" spans="1:14">
      <c r="A304" s="8">
        <v>302</v>
      </c>
      <c r="B304" s="8"/>
      <c r="C304" s="8"/>
      <c r="D304" s="8"/>
      <c r="E304" s="23" t="s">
        <v>129</v>
      </c>
      <c r="F304" s="15" t="s">
        <v>1015</v>
      </c>
      <c r="G304" s="14" t="s">
        <v>1016</v>
      </c>
      <c r="H304" s="15">
        <v>1</v>
      </c>
      <c r="I304" s="8"/>
      <c r="J304" s="8"/>
      <c r="K304" s="16">
        <v>2300</v>
      </c>
      <c r="L304" s="27">
        <v>0.01</v>
      </c>
      <c r="M304" s="28">
        <f t="shared" si="4"/>
        <v>2300</v>
      </c>
      <c r="N304" s="23" t="s">
        <v>519</v>
      </c>
    </row>
    <row r="305" ht="15" spans="1:14">
      <c r="A305" s="8">
        <v>303</v>
      </c>
      <c r="B305" s="8"/>
      <c r="C305" s="8"/>
      <c r="D305" s="8"/>
      <c r="E305" s="23" t="s">
        <v>129</v>
      </c>
      <c r="F305" s="15" t="s">
        <v>1017</v>
      </c>
      <c r="G305" s="14" t="s">
        <v>1018</v>
      </c>
      <c r="H305" s="15">
        <v>1</v>
      </c>
      <c r="I305" s="8"/>
      <c r="J305" s="8"/>
      <c r="K305" s="16">
        <v>720</v>
      </c>
      <c r="L305" s="27">
        <v>0.01</v>
      </c>
      <c r="M305" s="28">
        <f t="shared" si="4"/>
        <v>720</v>
      </c>
      <c r="N305" s="23" t="s">
        <v>519</v>
      </c>
    </row>
    <row r="306" ht="15" spans="1:14">
      <c r="A306" s="8">
        <v>304</v>
      </c>
      <c r="B306" s="8"/>
      <c r="C306" s="8"/>
      <c r="D306" s="8"/>
      <c r="E306" s="23" t="s">
        <v>129</v>
      </c>
      <c r="F306" s="15" t="s">
        <v>1019</v>
      </c>
      <c r="G306" s="14" t="s">
        <v>1020</v>
      </c>
      <c r="H306" s="15">
        <v>1</v>
      </c>
      <c r="I306" s="8"/>
      <c r="J306" s="8"/>
      <c r="K306" s="16">
        <v>10</v>
      </c>
      <c r="L306" s="27">
        <v>0.01</v>
      </c>
      <c r="M306" s="28">
        <f t="shared" si="4"/>
        <v>10</v>
      </c>
      <c r="N306" s="23" t="s">
        <v>519</v>
      </c>
    </row>
    <row r="307" ht="30" spans="1:14">
      <c r="A307" s="8">
        <v>305</v>
      </c>
      <c r="B307" s="8"/>
      <c r="C307" s="8"/>
      <c r="D307" s="8"/>
      <c r="E307" s="23" t="s">
        <v>129</v>
      </c>
      <c r="F307" s="15" t="s">
        <v>1021</v>
      </c>
      <c r="G307" s="14" t="s">
        <v>1022</v>
      </c>
      <c r="H307" s="15">
        <v>2</v>
      </c>
      <c r="I307" s="8"/>
      <c r="J307" s="8"/>
      <c r="K307" s="16">
        <v>20</v>
      </c>
      <c r="L307" s="27">
        <v>0.01</v>
      </c>
      <c r="M307" s="28">
        <f t="shared" si="4"/>
        <v>40</v>
      </c>
      <c r="N307" s="23" t="s">
        <v>519</v>
      </c>
    </row>
    <row r="308" ht="15" spans="1:14">
      <c r="A308" s="8">
        <v>306</v>
      </c>
      <c r="B308" s="8"/>
      <c r="C308" s="8"/>
      <c r="D308" s="8"/>
      <c r="E308" s="23" t="s">
        <v>129</v>
      </c>
      <c r="F308" s="15" t="s">
        <v>871</v>
      </c>
      <c r="G308" s="14" t="s">
        <v>1023</v>
      </c>
      <c r="H308" s="15">
        <v>3</v>
      </c>
      <c r="I308" s="8"/>
      <c r="J308" s="8"/>
      <c r="K308" s="16">
        <v>23</v>
      </c>
      <c r="L308" s="27">
        <v>0.01</v>
      </c>
      <c r="M308" s="28">
        <f t="shared" si="4"/>
        <v>69</v>
      </c>
      <c r="N308" s="23" t="s">
        <v>519</v>
      </c>
    </row>
    <row r="309" ht="15" spans="1:14">
      <c r="A309" s="8">
        <v>307</v>
      </c>
      <c r="B309" s="8"/>
      <c r="C309" s="8"/>
      <c r="D309" s="8"/>
      <c r="E309" s="23" t="s">
        <v>129</v>
      </c>
      <c r="F309" s="15" t="s">
        <v>1024</v>
      </c>
      <c r="G309" s="14" t="s">
        <v>1025</v>
      </c>
      <c r="H309" s="15">
        <v>1</v>
      </c>
      <c r="I309" s="8"/>
      <c r="J309" s="8"/>
      <c r="K309" s="16">
        <v>130</v>
      </c>
      <c r="L309" s="27">
        <v>0.01</v>
      </c>
      <c r="M309" s="28">
        <f t="shared" si="4"/>
        <v>130</v>
      </c>
      <c r="N309" s="23" t="s">
        <v>519</v>
      </c>
    </row>
    <row r="310" ht="15" spans="1:14">
      <c r="A310" s="8">
        <v>308</v>
      </c>
      <c r="B310" s="8"/>
      <c r="C310" s="8"/>
      <c r="D310" s="8"/>
      <c r="E310" s="23" t="s">
        <v>129</v>
      </c>
      <c r="F310" s="15" t="s">
        <v>1026</v>
      </c>
      <c r="G310" s="14"/>
      <c r="H310" s="15">
        <v>1</v>
      </c>
      <c r="I310" s="8"/>
      <c r="J310" s="8"/>
      <c r="K310" s="16">
        <v>15</v>
      </c>
      <c r="L310" s="27">
        <v>0.01</v>
      </c>
      <c r="M310" s="28">
        <f t="shared" si="4"/>
        <v>15</v>
      </c>
      <c r="N310" s="23" t="s">
        <v>519</v>
      </c>
    </row>
    <row r="311" ht="15" spans="1:14">
      <c r="A311" s="8">
        <v>309</v>
      </c>
      <c r="B311" s="8"/>
      <c r="C311" s="8"/>
      <c r="D311" s="8"/>
      <c r="E311" s="23" t="s">
        <v>129</v>
      </c>
      <c r="F311" s="15" t="s">
        <v>1027</v>
      </c>
      <c r="G311" s="14" t="s">
        <v>1028</v>
      </c>
      <c r="H311" s="15">
        <v>1</v>
      </c>
      <c r="I311" s="8"/>
      <c r="J311" s="8"/>
      <c r="K311" s="16">
        <v>386</v>
      </c>
      <c r="L311" s="27">
        <v>0.01</v>
      </c>
      <c r="M311" s="28">
        <f t="shared" si="4"/>
        <v>386</v>
      </c>
      <c r="N311" s="23" t="s">
        <v>519</v>
      </c>
    </row>
    <row r="312" ht="15" spans="1:14">
      <c r="A312" s="8">
        <v>310</v>
      </c>
      <c r="B312" s="8"/>
      <c r="C312" s="8"/>
      <c r="D312" s="8"/>
      <c r="E312" s="23" t="s">
        <v>129</v>
      </c>
      <c r="F312" s="15" t="s">
        <v>1029</v>
      </c>
      <c r="G312" s="14" t="s">
        <v>1030</v>
      </c>
      <c r="H312" s="15">
        <v>2</v>
      </c>
      <c r="I312" s="8"/>
      <c r="J312" s="8"/>
      <c r="K312" s="16">
        <v>45</v>
      </c>
      <c r="L312" s="27">
        <v>0.01</v>
      </c>
      <c r="M312" s="28">
        <f t="shared" si="4"/>
        <v>90</v>
      </c>
      <c r="N312" s="23" t="s">
        <v>519</v>
      </c>
    </row>
    <row r="313" ht="15" spans="1:14">
      <c r="A313" s="8">
        <v>311</v>
      </c>
      <c r="B313" s="8"/>
      <c r="C313" s="8"/>
      <c r="D313" s="8"/>
      <c r="E313" s="23" t="s">
        <v>129</v>
      </c>
      <c r="F313" s="15" t="s">
        <v>1031</v>
      </c>
      <c r="G313" s="14"/>
      <c r="H313" s="15">
        <v>5</v>
      </c>
      <c r="I313" s="8"/>
      <c r="J313" s="8"/>
      <c r="K313" s="16">
        <v>30</v>
      </c>
      <c r="L313" s="27">
        <v>0.01</v>
      </c>
      <c r="M313" s="28">
        <f t="shared" si="4"/>
        <v>150</v>
      </c>
      <c r="N313" s="23" t="s">
        <v>519</v>
      </c>
    </row>
    <row r="314" ht="15" spans="1:14">
      <c r="A314" s="8">
        <v>312</v>
      </c>
      <c r="B314" s="8"/>
      <c r="C314" s="8"/>
      <c r="D314" s="8"/>
      <c r="E314" s="23" t="s">
        <v>129</v>
      </c>
      <c r="F314" s="15" t="s">
        <v>648</v>
      </c>
      <c r="G314" s="14" t="s">
        <v>1032</v>
      </c>
      <c r="H314" s="15">
        <v>5</v>
      </c>
      <c r="I314" s="8"/>
      <c r="J314" s="8"/>
      <c r="K314" s="16">
        <v>29</v>
      </c>
      <c r="L314" s="27">
        <v>0.01</v>
      </c>
      <c r="M314" s="28">
        <f t="shared" si="4"/>
        <v>145</v>
      </c>
      <c r="N314" s="23" t="s">
        <v>519</v>
      </c>
    </row>
    <row r="315" ht="15" spans="1:14">
      <c r="A315" s="8">
        <v>313</v>
      </c>
      <c r="B315" s="8"/>
      <c r="C315" s="8"/>
      <c r="D315" s="8"/>
      <c r="E315" s="23" t="s">
        <v>129</v>
      </c>
      <c r="F315" s="15" t="s">
        <v>898</v>
      </c>
      <c r="G315" s="14" t="s">
        <v>1033</v>
      </c>
      <c r="H315" s="15">
        <v>6</v>
      </c>
      <c r="I315" s="8"/>
      <c r="J315" s="8"/>
      <c r="K315" s="16">
        <v>11</v>
      </c>
      <c r="L315" s="27">
        <v>0.01</v>
      </c>
      <c r="M315" s="28">
        <f t="shared" si="4"/>
        <v>66</v>
      </c>
      <c r="N315" s="23" t="s">
        <v>519</v>
      </c>
    </row>
    <row r="316" ht="15" spans="1:14">
      <c r="A316" s="8">
        <v>314</v>
      </c>
      <c r="B316" s="8"/>
      <c r="C316" s="8"/>
      <c r="D316" s="8"/>
      <c r="E316" s="23" t="s">
        <v>129</v>
      </c>
      <c r="F316" s="15" t="s">
        <v>1034</v>
      </c>
      <c r="G316" s="14" t="s">
        <v>1035</v>
      </c>
      <c r="H316" s="15">
        <v>1</v>
      </c>
      <c r="I316" s="8"/>
      <c r="J316" s="8"/>
      <c r="K316" s="16">
        <v>15</v>
      </c>
      <c r="L316" s="27">
        <v>0.01</v>
      </c>
      <c r="M316" s="28">
        <f t="shared" si="4"/>
        <v>15</v>
      </c>
      <c r="N316" s="23" t="s">
        <v>519</v>
      </c>
    </row>
    <row r="317" ht="15" spans="1:14">
      <c r="A317" s="8">
        <v>315</v>
      </c>
      <c r="B317" s="8"/>
      <c r="C317" s="8"/>
      <c r="D317" s="8"/>
      <c r="E317" s="23" t="s">
        <v>129</v>
      </c>
      <c r="F317" s="15" t="s">
        <v>1036</v>
      </c>
      <c r="G317" s="14" t="s">
        <v>1037</v>
      </c>
      <c r="H317" s="15">
        <v>6</v>
      </c>
      <c r="I317" s="8"/>
      <c r="J317" s="8"/>
      <c r="K317" s="16">
        <v>5.5</v>
      </c>
      <c r="L317" s="27">
        <v>0.01</v>
      </c>
      <c r="M317" s="28">
        <f t="shared" si="4"/>
        <v>33</v>
      </c>
      <c r="N317" s="23" t="s">
        <v>519</v>
      </c>
    </row>
    <row r="318" ht="15" spans="1:14">
      <c r="A318" s="8">
        <v>316</v>
      </c>
      <c r="B318" s="8"/>
      <c r="C318" s="8"/>
      <c r="D318" s="8"/>
      <c r="E318" s="23" t="s">
        <v>129</v>
      </c>
      <c r="F318" s="15" t="s">
        <v>776</v>
      </c>
      <c r="G318" s="14" t="s">
        <v>777</v>
      </c>
      <c r="H318" s="15">
        <v>1</v>
      </c>
      <c r="I318" s="8"/>
      <c r="J318" s="8"/>
      <c r="K318" s="16">
        <v>42</v>
      </c>
      <c r="L318" s="27">
        <v>0.01</v>
      </c>
      <c r="M318" s="28">
        <f t="shared" si="4"/>
        <v>42</v>
      </c>
      <c r="N318" s="23" t="s">
        <v>519</v>
      </c>
    </row>
    <row r="319" ht="15" spans="1:14">
      <c r="A319" s="8">
        <v>317</v>
      </c>
      <c r="B319" s="8"/>
      <c r="C319" s="8"/>
      <c r="D319" s="8"/>
      <c r="E319" s="23" t="s">
        <v>129</v>
      </c>
      <c r="F319" s="15" t="s">
        <v>776</v>
      </c>
      <c r="G319" s="14" t="s">
        <v>1038</v>
      </c>
      <c r="H319" s="15">
        <v>1</v>
      </c>
      <c r="I319" s="8"/>
      <c r="J319" s="8"/>
      <c r="K319" s="16">
        <v>12</v>
      </c>
      <c r="L319" s="27">
        <v>0.01</v>
      </c>
      <c r="M319" s="28">
        <f t="shared" si="4"/>
        <v>12</v>
      </c>
      <c r="N319" s="23" t="s">
        <v>519</v>
      </c>
    </row>
    <row r="320" ht="15" spans="1:14">
      <c r="A320" s="8">
        <v>318</v>
      </c>
      <c r="B320" s="8"/>
      <c r="C320" s="8"/>
      <c r="D320" s="8"/>
      <c r="E320" s="23" t="s">
        <v>129</v>
      </c>
      <c r="F320" s="15" t="s">
        <v>1039</v>
      </c>
      <c r="G320" s="14" t="s">
        <v>1040</v>
      </c>
      <c r="H320" s="15">
        <v>2</v>
      </c>
      <c r="I320" s="8"/>
      <c r="J320" s="8"/>
      <c r="K320" s="16">
        <v>5</v>
      </c>
      <c r="L320" s="27">
        <v>0.01</v>
      </c>
      <c r="M320" s="28">
        <f t="shared" si="4"/>
        <v>10</v>
      </c>
      <c r="N320" s="23" t="s">
        <v>519</v>
      </c>
    </row>
    <row r="321" ht="15" spans="1:14">
      <c r="A321" s="8">
        <v>319</v>
      </c>
      <c r="B321" s="8"/>
      <c r="C321" s="8"/>
      <c r="D321" s="8"/>
      <c r="E321" s="23" t="s">
        <v>129</v>
      </c>
      <c r="F321" s="15" t="s">
        <v>1041</v>
      </c>
      <c r="G321" s="14" t="s">
        <v>1042</v>
      </c>
      <c r="H321" s="15">
        <v>1</v>
      </c>
      <c r="I321" s="8"/>
      <c r="J321" s="8"/>
      <c r="K321" s="16">
        <v>3</v>
      </c>
      <c r="L321" s="27">
        <v>0.01</v>
      </c>
      <c r="M321" s="28">
        <f t="shared" si="4"/>
        <v>3</v>
      </c>
      <c r="N321" s="23" t="s">
        <v>519</v>
      </c>
    </row>
    <row r="322" ht="15" spans="1:14">
      <c r="A322" s="8">
        <v>320</v>
      </c>
      <c r="B322" s="8"/>
      <c r="C322" s="8"/>
      <c r="D322" s="8"/>
      <c r="E322" s="23" t="s">
        <v>129</v>
      </c>
      <c r="F322" s="15" t="s">
        <v>1043</v>
      </c>
      <c r="G322" s="14"/>
      <c r="H322" s="15">
        <v>3</v>
      </c>
      <c r="I322" s="8"/>
      <c r="J322" s="8"/>
      <c r="K322" s="16">
        <v>17</v>
      </c>
      <c r="L322" s="27">
        <v>0.01</v>
      </c>
      <c r="M322" s="28">
        <f t="shared" si="4"/>
        <v>51</v>
      </c>
      <c r="N322" s="23" t="s">
        <v>519</v>
      </c>
    </row>
    <row r="323" ht="15" spans="1:14">
      <c r="A323" s="8">
        <v>321</v>
      </c>
      <c r="B323" s="8"/>
      <c r="C323" s="8"/>
      <c r="D323" s="8"/>
      <c r="E323" s="23" t="s">
        <v>129</v>
      </c>
      <c r="F323" s="15" t="s">
        <v>1044</v>
      </c>
      <c r="G323" s="14" t="s">
        <v>1045</v>
      </c>
      <c r="H323" s="15">
        <v>1</v>
      </c>
      <c r="I323" s="8"/>
      <c r="J323" s="8"/>
      <c r="K323" s="16">
        <v>38</v>
      </c>
      <c r="L323" s="27">
        <v>0.01</v>
      </c>
      <c r="M323" s="28">
        <f t="shared" si="4"/>
        <v>38</v>
      </c>
      <c r="N323" s="23" t="s">
        <v>519</v>
      </c>
    </row>
    <row r="324" ht="15" spans="1:14">
      <c r="A324" s="8">
        <v>322</v>
      </c>
      <c r="B324" s="8"/>
      <c r="C324" s="8"/>
      <c r="D324" s="8"/>
      <c r="E324" s="23" t="s">
        <v>129</v>
      </c>
      <c r="F324" s="15" t="s">
        <v>1046</v>
      </c>
      <c r="G324" s="14"/>
      <c r="H324" s="15">
        <v>3</v>
      </c>
      <c r="I324" s="8"/>
      <c r="J324" s="8"/>
      <c r="K324" s="16">
        <v>100</v>
      </c>
      <c r="L324" s="27">
        <v>0.01</v>
      </c>
      <c r="M324" s="28">
        <f t="shared" ref="M324:M387" si="5">H324*K324</f>
        <v>300</v>
      </c>
      <c r="N324" s="23" t="s">
        <v>519</v>
      </c>
    </row>
    <row r="325" ht="15" spans="1:14">
      <c r="A325" s="8">
        <v>323</v>
      </c>
      <c r="B325" s="8"/>
      <c r="C325" s="8"/>
      <c r="D325" s="8"/>
      <c r="E325" s="23" t="s">
        <v>129</v>
      </c>
      <c r="F325" s="15" t="s">
        <v>1047</v>
      </c>
      <c r="G325" s="14" t="s">
        <v>1048</v>
      </c>
      <c r="H325" s="15">
        <v>10</v>
      </c>
      <c r="I325" s="8"/>
      <c r="J325" s="8"/>
      <c r="K325" s="16">
        <v>48</v>
      </c>
      <c r="L325" s="27">
        <v>0.01</v>
      </c>
      <c r="M325" s="28">
        <f t="shared" si="5"/>
        <v>480</v>
      </c>
      <c r="N325" s="23" t="s">
        <v>519</v>
      </c>
    </row>
    <row r="326" ht="15" spans="1:14">
      <c r="A326" s="8">
        <v>324</v>
      </c>
      <c r="B326" s="8"/>
      <c r="C326" s="8"/>
      <c r="D326" s="8"/>
      <c r="E326" s="23" t="s">
        <v>129</v>
      </c>
      <c r="F326" s="15" t="s">
        <v>1049</v>
      </c>
      <c r="G326" s="14" t="s">
        <v>1050</v>
      </c>
      <c r="H326" s="15">
        <v>1</v>
      </c>
      <c r="I326" s="8"/>
      <c r="J326" s="8"/>
      <c r="K326" s="16">
        <v>162</v>
      </c>
      <c r="L326" s="27">
        <v>0.01</v>
      </c>
      <c r="M326" s="28">
        <f t="shared" si="5"/>
        <v>162</v>
      </c>
      <c r="N326" s="23" t="s">
        <v>519</v>
      </c>
    </row>
    <row r="327" ht="15" spans="1:14">
      <c r="A327" s="8">
        <v>325</v>
      </c>
      <c r="B327" s="8"/>
      <c r="C327" s="8"/>
      <c r="D327" s="8"/>
      <c r="E327" s="23" t="s">
        <v>129</v>
      </c>
      <c r="F327" s="15" t="s">
        <v>879</v>
      </c>
      <c r="G327" s="14" t="s">
        <v>1051</v>
      </c>
      <c r="H327" s="15">
        <v>2</v>
      </c>
      <c r="I327" s="8"/>
      <c r="J327" s="8"/>
      <c r="K327" s="16">
        <v>58</v>
      </c>
      <c r="L327" s="27">
        <v>0.01</v>
      </c>
      <c r="M327" s="28">
        <f t="shared" si="5"/>
        <v>116</v>
      </c>
      <c r="N327" s="23" t="s">
        <v>519</v>
      </c>
    </row>
    <row r="328" ht="15" spans="1:14">
      <c r="A328" s="8">
        <v>326</v>
      </c>
      <c r="B328" s="8"/>
      <c r="C328" s="8"/>
      <c r="D328" s="8"/>
      <c r="E328" s="23" t="s">
        <v>129</v>
      </c>
      <c r="F328" s="15" t="s">
        <v>879</v>
      </c>
      <c r="G328" s="14" t="s">
        <v>1052</v>
      </c>
      <c r="H328" s="15">
        <v>1</v>
      </c>
      <c r="I328" s="8"/>
      <c r="J328" s="8"/>
      <c r="K328" s="16">
        <v>60</v>
      </c>
      <c r="L328" s="27">
        <v>0.01</v>
      </c>
      <c r="M328" s="28">
        <f t="shared" si="5"/>
        <v>60</v>
      </c>
      <c r="N328" s="23" t="s">
        <v>519</v>
      </c>
    </row>
    <row r="329" ht="15" spans="1:14">
      <c r="A329" s="8">
        <v>327</v>
      </c>
      <c r="B329" s="8"/>
      <c r="C329" s="8"/>
      <c r="D329" s="8"/>
      <c r="E329" s="23" t="s">
        <v>129</v>
      </c>
      <c r="F329" s="15" t="s">
        <v>931</v>
      </c>
      <c r="G329" s="14" t="s">
        <v>1053</v>
      </c>
      <c r="H329" s="15">
        <v>2</v>
      </c>
      <c r="I329" s="8"/>
      <c r="J329" s="8"/>
      <c r="K329" s="16">
        <v>27</v>
      </c>
      <c r="L329" s="27">
        <v>0.01</v>
      </c>
      <c r="M329" s="28">
        <f t="shared" si="5"/>
        <v>54</v>
      </c>
      <c r="N329" s="23" t="s">
        <v>519</v>
      </c>
    </row>
    <row r="330" ht="15" spans="1:14">
      <c r="A330" s="8">
        <v>328</v>
      </c>
      <c r="B330" s="8"/>
      <c r="C330" s="8"/>
      <c r="D330" s="8"/>
      <c r="E330" s="23" t="s">
        <v>129</v>
      </c>
      <c r="F330" s="15" t="s">
        <v>108</v>
      </c>
      <c r="G330" s="14"/>
      <c r="H330" s="15">
        <v>100</v>
      </c>
      <c r="K330" s="16">
        <v>1.75</v>
      </c>
      <c r="L330" s="27">
        <v>0.01</v>
      </c>
      <c r="M330" s="28">
        <f t="shared" si="5"/>
        <v>175</v>
      </c>
      <c r="N330" s="23" t="s">
        <v>519</v>
      </c>
    </row>
    <row r="331" ht="15" spans="1:14">
      <c r="A331" s="8">
        <v>329</v>
      </c>
      <c r="B331" s="8"/>
      <c r="C331" s="8"/>
      <c r="D331" s="8"/>
      <c r="E331" s="23" t="s">
        <v>129</v>
      </c>
      <c r="F331" s="15" t="s">
        <v>183</v>
      </c>
      <c r="G331" s="14" t="s">
        <v>1054</v>
      </c>
      <c r="H331" s="15">
        <v>2</v>
      </c>
      <c r="K331" s="16">
        <v>45</v>
      </c>
      <c r="L331" s="27">
        <v>0.01</v>
      </c>
      <c r="M331" s="28">
        <f t="shared" si="5"/>
        <v>90</v>
      </c>
      <c r="N331" s="23" t="s">
        <v>519</v>
      </c>
    </row>
    <row r="332" ht="15" spans="1:14">
      <c r="A332" s="8">
        <v>330</v>
      </c>
      <c r="B332" s="8"/>
      <c r="C332" s="8"/>
      <c r="D332" s="8"/>
      <c r="E332" s="23" t="s">
        <v>129</v>
      </c>
      <c r="F332" s="15" t="s">
        <v>1055</v>
      </c>
      <c r="G332" s="14" t="s">
        <v>1056</v>
      </c>
      <c r="H332" s="15">
        <v>1</v>
      </c>
      <c r="K332" s="16">
        <v>85</v>
      </c>
      <c r="L332" s="27">
        <v>0.01</v>
      </c>
      <c r="M332" s="28">
        <f t="shared" si="5"/>
        <v>85</v>
      </c>
      <c r="N332" s="23" t="s">
        <v>519</v>
      </c>
    </row>
    <row r="333" ht="15" spans="1:14">
      <c r="A333" s="8">
        <v>331</v>
      </c>
      <c r="B333" s="8"/>
      <c r="C333" s="8"/>
      <c r="D333" s="8"/>
      <c r="E333" s="23" t="s">
        <v>129</v>
      </c>
      <c r="F333" s="15" t="s">
        <v>914</v>
      </c>
      <c r="G333" s="14" t="s">
        <v>1057</v>
      </c>
      <c r="H333" s="15">
        <v>4</v>
      </c>
      <c r="K333" s="16">
        <v>10</v>
      </c>
      <c r="L333" s="27">
        <v>0.01</v>
      </c>
      <c r="M333" s="28">
        <f t="shared" si="5"/>
        <v>40</v>
      </c>
      <c r="N333" s="23" t="s">
        <v>519</v>
      </c>
    </row>
    <row r="334" ht="15" spans="1:14">
      <c r="A334" s="8">
        <v>332</v>
      </c>
      <c r="B334" s="8"/>
      <c r="C334" s="8"/>
      <c r="D334" s="8"/>
      <c r="E334" s="23" t="s">
        <v>129</v>
      </c>
      <c r="F334" s="15" t="s">
        <v>455</v>
      </c>
      <c r="G334" s="14" t="s">
        <v>1058</v>
      </c>
      <c r="H334" s="15">
        <v>1</v>
      </c>
      <c r="K334" s="16">
        <v>44</v>
      </c>
      <c r="L334" s="27">
        <v>0.01</v>
      </c>
      <c r="M334" s="28">
        <f t="shared" si="5"/>
        <v>44</v>
      </c>
      <c r="N334" s="23" t="s">
        <v>519</v>
      </c>
    </row>
    <row r="335" ht="30" spans="1:14">
      <c r="A335" s="8">
        <v>333</v>
      </c>
      <c r="B335" s="8"/>
      <c r="C335" s="8"/>
      <c r="D335" s="8"/>
      <c r="E335" s="23" t="s">
        <v>129</v>
      </c>
      <c r="F335" s="15" t="s">
        <v>856</v>
      </c>
      <c r="G335" s="14" t="s">
        <v>1059</v>
      </c>
      <c r="H335" s="15">
        <v>2</v>
      </c>
      <c r="K335" s="16">
        <v>9.5</v>
      </c>
      <c r="L335" s="27">
        <v>0.01</v>
      </c>
      <c r="M335" s="28">
        <f t="shared" si="5"/>
        <v>19</v>
      </c>
      <c r="N335" s="23" t="s">
        <v>519</v>
      </c>
    </row>
    <row r="336" ht="15" spans="1:14">
      <c r="A336" s="8">
        <v>334</v>
      </c>
      <c r="B336" s="8"/>
      <c r="C336" s="8"/>
      <c r="D336" s="8"/>
      <c r="E336" s="23" t="s">
        <v>129</v>
      </c>
      <c r="F336" s="15" t="s">
        <v>858</v>
      </c>
      <c r="G336" s="14" t="s">
        <v>1060</v>
      </c>
      <c r="H336" s="15">
        <v>1</v>
      </c>
      <c r="K336" s="16">
        <v>45</v>
      </c>
      <c r="L336" s="27">
        <v>0.01</v>
      </c>
      <c r="M336" s="28">
        <f t="shared" si="5"/>
        <v>45</v>
      </c>
      <c r="N336" s="23" t="s">
        <v>519</v>
      </c>
    </row>
    <row r="337" ht="15" spans="1:14">
      <c r="A337" s="8">
        <v>335</v>
      </c>
      <c r="B337" s="8"/>
      <c r="C337" s="8"/>
      <c r="D337" s="8"/>
      <c r="E337" s="23" t="s">
        <v>129</v>
      </c>
      <c r="F337" s="15" t="s">
        <v>1061</v>
      </c>
      <c r="G337" s="14" t="s">
        <v>1062</v>
      </c>
      <c r="H337" s="15">
        <v>3</v>
      </c>
      <c r="K337" s="16">
        <v>4</v>
      </c>
      <c r="L337" s="27">
        <v>0.01</v>
      </c>
      <c r="M337" s="28">
        <f t="shared" si="5"/>
        <v>12</v>
      </c>
      <c r="N337" s="23" t="s">
        <v>519</v>
      </c>
    </row>
    <row r="338" ht="30" spans="1:14">
      <c r="A338" s="8">
        <v>336</v>
      </c>
      <c r="B338" s="8"/>
      <c r="C338" s="8"/>
      <c r="D338" s="8"/>
      <c r="E338" s="23" t="s">
        <v>129</v>
      </c>
      <c r="F338" s="15" t="s">
        <v>707</v>
      </c>
      <c r="G338" s="14" t="s">
        <v>1063</v>
      </c>
      <c r="H338" s="15">
        <v>10</v>
      </c>
      <c r="K338" s="16">
        <v>35</v>
      </c>
      <c r="L338" s="27">
        <v>0.01</v>
      </c>
      <c r="M338" s="28">
        <f t="shared" si="5"/>
        <v>350</v>
      </c>
      <c r="N338" s="23" t="s">
        <v>519</v>
      </c>
    </row>
    <row r="339" ht="15" spans="1:14">
      <c r="A339" s="8">
        <v>337</v>
      </c>
      <c r="B339" s="8"/>
      <c r="C339" s="8"/>
      <c r="D339" s="8"/>
      <c r="E339" s="23" t="s">
        <v>129</v>
      </c>
      <c r="F339" s="15" t="s">
        <v>1064</v>
      </c>
      <c r="G339" s="14"/>
      <c r="H339" s="15">
        <v>1</v>
      </c>
      <c r="K339" s="16">
        <v>100</v>
      </c>
      <c r="L339" s="27">
        <v>0.01</v>
      </c>
      <c r="M339" s="28">
        <f t="shared" si="5"/>
        <v>100</v>
      </c>
      <c r="N339" s="23" t="s">
        <v>519</v>
      </c>
    </row>
    <row r="340" ht="15" spans="1:14">
      <c r="A340" s="8">
        <v>338</v>
      </c>
      <c r="B340" s="8"/>
      <c r="C340" s="8"/>
      <c r="D340" s="8"/>
      <c r="E340" s="23" t="s">
        <v>129</v>
      </c>
      <c r="F340" s="15" t="s">
        <v>1065</v>
      </c>
      <c r="G340" s="14" t="s">
        <v>1066</v>
      </c>
      <c r="H340" s="15">
        <v>1</v>
      </c>
      <c r="K340" s="16">
        <v>580</v>
      </c>
      <c r="L340" s="27">
        <v>0.01</v>
      </c>
      <c r="M340" s="28">
        <f t="shared" si="5"/>
        <v>580</v>
      </c>
      <c r="N340" s="23" t="s">
        <v>519</v>
      </c>
    </row>
    <row r="341" ht="15" spans="1:14">
      <c r="A341" s="8">
        <v>339</v>
      </c>
      <c r="B341" s="8"/>
      <c r="C341" s="8"/>
      <c r="D341" s="8"/>
      <c r="E341" s="23" t="s">
        <v>129</v>
      </c>
      <c r="F341" s="15" t="s">
        <v>523</v>
      </c>
      <c r="G341" s="14" t="s">
        <v>1067</v>
      </c>
      <c r="H341" s="15">
        <v>2</v>
      </c>
      <c r="K341" s="16">
        <v>80</v>
      </c>
      <c r="L341" s="27">
        <v>0.01</v>
      </c>
      <c r="M341" s="28">
        <f t="shared" si="5"/>
        <v>160</v>
      </c>
      <c r="N341" s="23" t="s">
        <v>519</v>
      </c>
    </row>
    <row r="342" ht="30" spans="1:14">
      <c r="A342" s="8">
        <v>340</v>
      </c>
      <c r="B342" s="8"/>
      <c r="C342" s="8"/>
      <c r="D342" s="8"/>
      <c r="E342" s="23" t="s">
        <v>129</v>
      </c>
      <c r="F342" s="15" t="s">
        <v>1068</v>
      </c>
      <c r="G342" s="14" t="s">
        <v>1069</v>
      </c>
      <c r="H342" s="15">
        <v>4</v>
      </c>
      <c r="K342" s="16">
        <v>28.5</v>
      </c>
      <c r="L342" s="27">
        <v>0.01</v>
      </c>
      <c r="M342" s="28">
        <f t="shared" si="5"/>
        <v>114</v>
      </c>
      <c r="N342" s="23" t="s">
        <v>519</v>
      </c>
    </row>
    <row r="343" ht="15" spans="1:14">
      <c r="A343" s="8">
        <v>341</v>
      </c>
      <c r="B343" s="8"/>
      <c r="C343" s="8"/>
      <c r="D343" s="8"/>
      <c r="E343" s="23" t="s">
        <v>129</v>
      </c>
      <c r="F343" s="15" t="s">
        <v>1043</v>
      </c>
      <c r="G343" s="14"/>
      <c r="H343" s="15">
        <v>1</v>
      </c>
      <c r="K343" s="16">
        <v>79</v>
      </c>
      <c r="L343" s="27">
        <v>0.01</v>
      </c>
      <c r="M343" s="28">
        <f t="shared" si="5"/>
        <v>79</v>
      </c>
      <c r="N343" s="23" t="s">
        <v>519</v>
      </c>
    </row>
    <row r="344" ht="15" spans="1:14">
      <c r="A344" s="8">
        <v>342</v>
      </c>
      <c r="B344" s="8"/>
      <c r="C344" s="8"/>
      <c r="D344" s="8"/>
      <c r="E344" s="23" t="s">
        <v>129</v>
      </c>
      <c r="F344" s="15" t="s">
        <v>1070</v>
      </c>
      <c r="G344" s="14" t="s">
        <v>1071</v>
      </c>
      <c r="H344" s="15">
        <v>5</v>
      </c>
      <c r="K344" s="16">
        <v>16.5</v>
      </c>
      <c r="L344" s="27">
        <v>0.01</v>
      </c>
      <c r="M344" s="28">
        <f t="shared" si="5"/>
        <v>82.5</v>
      </c>
      <c r="N344" s="23" t="s">
        <v>519</v>
      </c>
    </row>
    <row r="345" ht="15" spans="1:14">
      <c r="A345" s="8">
        <v>343</v>
      </c>
      <c r="B345" s="8"/>
      <c r="C345" s="8"/>
      <c r="D345" s="8"/>
      <c r="E345" s="23" t="s">
        <v>129</v>
      </c>
      <c r="F345" s="15" t="s">
        <v>534</v>
      </c>
      <c r="G345" s="14" t="s">
        <v>1072</v>
      </c>
      <c r="H345" s="15">
        <v>4</v>
      </c>
      <c r="K345" s="16">
        <v>22</v>
      </c>
      <c r="L345" s="27">
        <v>0.01</v>
      </c>
      <c r="M345" s="28">
        <f t="shared" si="5"/>
        <v>88</v>
      </c>
      <c r="N345" s="23" t="s">
        <v>519</v>
      </c>
    </row>
    <row r="346" ht="15" spans="1:14">
      <c r="A346" s="8">
        <v>344</v>
      </c>
      <c r="B346" s="8"/>
      <c r="C346" s="8"/>
      <c r="D346" s="8"/>
      <c r="E346" s="23" t="s">
        <v>129</v>
      </c>
      <c r="F346" s="15" t="s">
        <v>1073</v>
      </c>
      <c r="G346" s="14" t="s">
        <v>1074</v>
      </c>
      <c r="H346" s="15">
        <v>1</v>
      </c>
      <c r="K346" s="16">
        <v>3320</v>
      </c>
      <c r="L346" s="27">
        <v>0.01</v>
      </c>
      <c r="M346" s="28">
        <f t="shared" si="5"/>
        <v>3320</v>
      </c>
      <c r="N346" s="23" t="s">
        <v>519</v>
      </c>
    </row>
    <row r="347" ht="15" spans="1:14">
      <c r="A347" s="8">
        <v>345</v>
      </c>
      <c r="B347" s="8"/>
      <c r="C347" s="8"/>
      <c r="D347" s="8"/>
      <c r="E347" s="23" t="s">
        <v>129</v>
      </c>
      <c r="F347" s="15" t="s">
        <v>1075</v>
      </c>
      <c r="G347" s="14" t="s">
        <v>1076</v>
      </c>
      <c r="H347" s="15">
        <v>2</v>
      </c>
      <c r="K347" s="16">
        <v>320</v>
      </c>
      <c r="L347" s="27">
        <v>0.01</v>
      </c>
      <c r="M347" s="28">
        <f t="shared" si="5"/>
        <v>640</v>
      </c>
      <c r="N347" s="23" t="s">
        <v>519</v>
      </c>
    </row>
    <row r="348" ht="15" spans="1:14">
      <c r="A348" s="8">
        <v>346</v>
      </c>
      <c r="B348" s="8"/>
      <c r="C348" s="8"/>
      <c r="D348" s="8"/>
      <c r="E348" s="23" t="s">
        <v>129</v>
      </c>
      <c r="F348" s="15" t="s">
        <v>1077</v>
      </c>
      <c r="G348" s="14" t="s">
        <v>1078</v>
      </c>
      <c r="H348" s="15">
        <v>1</v>
      </c>
      <c r="K348" s="16">
        <v>660</v>
      </c>
      <c r="L348" s="27">
        <v>0.01</v>
      </c>
      <c r="M348" s="28">
        <f t="shared" si="5"/>
        <v>660</v>
      </c>
      <c r="N348" s="23" t="s">
        <v>519</v>
      </c>
    </row>
    <row r="349" ht="15" spans="1:14">
      <c r="A349" s="8">
        <v>347</v>
      </c>
      <c r="B349" s="8"/>
      <c r="C349" s="8"/>
      <c r="D349" s="8"/>
      <c r="E349" s="23" t="s">
        <v>129</v>
      </c>
      <c r="F349" s="15" t="s">
        <v>1079</v>
      </c>
      <c r="G349" s="14" t="s">
        <v>1080</v>
      </c>
      <c r="H349" s="15">
        <v>10</v>
      </c>
      <c r="K349" s="16">
        <v>78</v>
      </c>
      <c r="L349" s="27">
        <v>0.01</v>
      </c>
      <c r="M349" s="28">
        <f t="shared" si="5"/>
        <v>780</v>
      </c>
      <c r="N349" s="23" t="s">
        <v>519</v>
      </c>
    </row>
    <row r="350" ht="15" spans="1:14">
      <c r="A350" s="8">
        <v>348</v>
      </c>
      <c r="B350" s="8"/>
      <c r="C350" s="8"/>
      <c r="D350" s="8"/>
      <c r="E350" s="23" t="s">
        <v>129</v>
      </c>
      <c r="F350" s="15" t="s">
        <v>1039</v>
      </c>
      <c r="G350" s="14"/>
      <c r="H350" s="15">
        <v>1</v>
      </c>
      <c r="K350" s="16">
        <v>30</v>
      </c>
      <c r="L350" s="27">
        <v>0.01</v>
      </c>
      <c r="M350" s="28">
        <f t="shared" si="5"/>
        <v>30</v>
      </c>
      <c r="N350" s="23" t="s">
        <v>519</v>
      </c>
    </row>
    <row r="351" ht="15" spans="1:14">
      <c r="A351" s="8">
        <v>349</v>
      </c>
      <c r="B351" s="8"/>
      <c r="C351" s="8"/>
      <c r="D351" s="8"/>
      <c r="E351" s="23" t="s">
        <v>129</v>
      </c>
      <c r="F351" s="15" t="s">
        <v>1081</v>
      </c>
      <c r="G351" s="14" t="s">
        <v>1082</v>
      </c>
      <c r="H351" s="15">
        <v>10</v>
      </c>
      <c r="K351" s="16">
        <v>3</v>
      </c>
      <c r="L351" s="27">
        <v>0.01</v>
      </c>
      <c r="M351" s="28">
        <f t="shared" si="5"/>
        <v>30</v>
      </c>
      <c r="N351" s="23" t="s">
        <v>519</v>
      </c>
    </row>
    <row r="352" ht="30" spans="1:14">
      <c r="A352" s="8">
        <v>350</v>
      </c>
      <c r="B352" s="8"/>
      <c r="C352" s="8"/>
      <c r="D352" s="8"/>
      <c r="E352" s="23" t="s">
        <v>129</v>
      </c>
      <c r="F352" s="15" t="s">
        <v>882</v>
      </c>
      <c r="G352" s="14" t="s">
        <v>1083</v>
      </c>
      <c r="H352" s="15">
        <v>5</v>
      </c>
      <c r="K352" s="16">
        <v>6</v>
      </c>
      <c r="L352" s="27">
        <v>0.01</v>
      </c>
      <c r="M352" s="28">
        <f t="shared" si="5"/>
        <v>30</v>
      </c>
      <c r="N352" s="23" t="s">
        <v>519</v>
      </c>
    </row>
    <row r="353" ht="15" spans="1:14">
      <c r="A353" s="8">
        <v>351</v>
      </c>
      <c r="B353" s="8"/>
      <c r="C353" s="8"/>
      <c r="D353" s="8"/>
      <c r="E353" s="23" t="s">
        <v>129</v>
      </c>
      <c r="F353" s="15" t="s">
        <v>1084</v>
      </c>
      <c r="G353" s="14" t="s">
        <v>1085</v>
      </c>
      <c r="H353" s="15">
        <v>2</v>
      </c>
      <c r="K353" s="16">
        <v>18</v>
      </c>
      <c r="L353" s="27">
        <v>0.01</v>
      </c>
      <c r="M353" s="28">
        <f t="shared" si="5"/>
        <v>36</v>
      </c>
      <c r="N353" s="23" t="s">
        <v>519</v>
      </c>
    </row>
    <row r="354" ht="15" spans="1:14">
      <c r="A354" s="8">
        <v>352</v>
      </c>
      <c r="B354" s="8"/>
      <c r="C354" s="8"/>
      <c r="D354" s="8"/>
      <c r="E354" s="23" t="s">
        <v>129</v>
      </c>
      <c r="F354" s="15" t="s">
        <v>1086</v>
      </c>
      <c r="G354" s="14" t="s">
        <v>1087</v>
      </c>
      <c r="H354" s="15">
        <v>6</v>
      </c>
      <c r="K354" s="16">
        <v>42</v>
      </c>
      <c r="L354" s="27">
        <v>0.01</v>
      </c>
      <c r="M354" s="28">
        <f t="shared" si="5"/>
        <v>252</v>
      </c>
      <c r="N354" s="23" t="s">
        <v>519</v>
      </c>
    </row>
    <row r="355" ht="15" spans="1:14">
      <c r="A355" s="8">
        <v>353</v>
      </c>
      <c r="B355" s="8"/>
      <c r="C355" s="8"/>
      <c r="D355" s="8"/>
      <c r="E355" s="23" t="s">
        <v>129</v>
      </c>
      <c r="F355" s="15" t="s">
        <v>1088</v>
      </c>
      <c r="G355" s="14"/>
      <c r="H355" s="15">
        <v>10</v>
      </c>
      <c r="K355" s="16">
        <v>5.5</v>
      </c>
      <c r="L355" s="27">
        <v>0.01</v>
      </c>
      <c r="M355" s="28">
        <f t="shared" si="5"/>
        <v>55</v>
      </c>
      <c r="N355" s="23" t="s">
        <v>519</v>
      </c>
    </row>
    <row r="356" ht="15" spans="1:14">
      <c r="A356" s="8">
        <v>354</v>
      </c>
      <c r="B356" s="8"/>
      <c r="C356" s="8"/>
      <c r="D356" s="8"/>
      <c r="E356" s="23" t="s">
        <v>129</v>
      </c>
      <c r="F356" s="15" t="s">
        <v>1089</v>
      </c>
      <c r="G356" s="14" t="s">
        <v>1090</v>
      </c>
      <c r="H356" s="15">
        <v>6</v>
      </c>
      <c r="K356" s="16">
        <v>4.5</v>
      </c>
      <c r="L356" s="27">
        <v>0.01</v>
      </c>
      <c r="M356" s="28">
        <f t="shared" si="5"/>
        <v>27</v>
      </c>
      <c r="N356" s="23" t="s">
        <v>519</v>
      </c>
    </row>
    <row r="357" ht="15" spans="1:14">
      <c r="A357" s="8">
        <v>355</v>
      </c>
      <c r="B357" s="8"/>
      <c r="C357" s="8"/>
      <c r="D357" s="8"/>
      <c r="E357" s="23" t="s">
        <v>129</v>
      </c>
      <c r="F357" s="15" t="s">
        <v>1091</v>
      </c>
      <c r="G357" s="14"/>
      <c r="H357" s="15">
        <v>1</v>
      </c>
      <c r="K357" s="16">
        <v>4</v>
      </c>
      <c r="L357" s="27">
        <v>0.01</v>
      </c>
      <c r="M357" s="28">
        <f t="shared" si="5"/>
        <v>4</v>
      </c>
      <c r="N357" s="23" t="s">
        <v>519</v>
      </c>
    </row>
    <row r="358" ht="30" spans="1:14">
      <c r="A358" s="8">
        <v>356</v>
      </c>
      <c r="B358" s="8"/>
      <c r="C358" s="8"/>
      <c r="D358" s="8"/>
      <c r="E358" s="23" t="s">
        <v>129</v>
      </c>
      <c r="F358" s="14" t="s">
        <v>1092</v>
      </c>
      <c r="G358" s="14"/>
      <c r="H358" s="15">
        <v>1</v>
      </c>
      <c r="K358" s="16">
        <v>155</v>
      </c>
      <c r="L358" s="27">
        <v>0.01</v>
      </c>
      <c r="M358" s="28">
        <f t="shared" si="5"/>
        <v>155</v>
      </c>
      <c r="N358" s="23" t="s">
        <v>519</v>
      </c>
    </row>
    <row r="359" ht="15" spans="1:14">
      <c r="A359" s="8">
        <v>357</v>
      </c>
      <c r="B359" s="8"/>
      <c r="C359" s="8"/>
      <c r="D359" s="8"/>
      <c r="E359" s="23" t="s">
        <v>129</v>
      </c>
      <c r="F359" s="15" t="s">
        <v>1093</v>
      </c>
      <c r="G359" s="14" t="s">
        <v>1008</v>
      </c>
      <c r="H359" s="15">
        <v>1</v>
      </c>
      <c r="K359" s="16">
        <v>212</v>
      </c>
      <c r="L359" s="27">
        <v>0.01</v>
      </c>
      <c r="M359" s="28">
        <f t="shared" si="5"/>
        <v>212</v>
      </c>
      <c r="N359" s="23" t="s">
        <v>519</v>
      </c>
    </row>
    <row r="360" ht="15" spans="1:14">
      <c r="A360" s="8">
        <v>358</v>
      </c>
      <c r="B360" s="8"/>
      <c r="C360" s="8"/>
      <c r="D360" s="8"/>
      <c r="E360" s="23" t="s">
        <v>129</v>
      </c>
      <c r="F360" s="15" t="s">
        <v>1094</v>
      </c>
      <c r="G360" s="14"/>
      <c r="H360" s="15">
        <v>1</v>
      </c>
      <c r="K360" s="16">
        <v>132</v>
      </c>
      <c r="L360" s="27">
        <v>0.01</v>
      </c>
      <c r="M360" s="28">
        <f t="shared" si="5"/>
        <v>132</v>
      </c>
      <c r="N360" s="23" t="s">
        <v>519</v>
      </c>
    </row>
    <row r="361" ht="15" spans="1:14">
      <c r="A361" s="8">
        <v>359</v>
      </c>
      <c r="B361" s="8"/>
      <c r="C361" s="8"/>
      <c r="D361" s="8"/>
      <c r="E361" s="23" t="s">
        <v>129</v>
      </c>
      <c r="F361" s="15" t="s">
        <v>856</v>
      </c>
      <c r="G361" s="14" t="s">
        <v>1095</v>
      </c>
      <c r="H361" s="15">
        <v>2</v>
      </c>
      <c r="K361" s="16">
        <v>12</v>
      </c>
      <c r="L361" s="27">
        <v>0.01</v>
      </c>
      <c r="M361" s="28">
        <f t="shared" si="5"/>
        <v>24</v>
      </c>
      <c r="N361" s="23" t="s">
        <v>519</v>
      </c>
    </row>
    <row r="362" ht="15" spans="1:14">
      <c r="A362" s="8">
        <v>360</v>
      </c>
      <c r="B362" s="8"/>
      <c r="C362" s="8"/>
      <c r="D362" s="8"/>
      <c r="E362" s="23" t="s">
        <v>129</v>
      </c>
      <c r="F362" s="15" t="s">
        <v>1096</v>
      </c>
      <c r="G362" s="14" t="s">
        <v>1097</v>
      </c>
      <c r="H362" s="15">
        <v>1</v>
      </c>
      <c r="K362" s="16">
        <v>153</v>
      </c>
      <c r="L362" s="27">
        <v>0.01</v>
      </c>
      <c r="M362" s="28">
        <f t="shared" si="5"/>
        <v>153</v>
      </c>
      <c r="N362" s="23" t="s">
        <v>519</v>
      </c>
    </row>
    <row r="363" ht="15" spans="1:14">
      <c r="A363" s="8">
        <v>361</v>
      </c>
      <c r="B363" s="8"/>
      <c r="C363" s="8"/>
      <c r="D363" s="8"/>
      <c r="E363" s="23" t="s">
        <v>129</v>
      </c>
      <c r="F363" s="15" t="s">
        <v>1098</v>
      </c>
      <c r="G363" s="14" t="s">
        <v>1099</v>
      </c>
      <c r="H363" s="15">
        <v>1</v>
      </c>
      <c r="K363" s="16">
        <v>475</v>
      </c>
      <c r="L363" s="27">
        <v>0.01</v>
      </c>
      <c r="M363" s="28">
        <f t="shared" si="5"/>
        <v>475</v>
      </c>
      <c r="N363" s="23" t="s">
        <v>519</v>
      </c>
    </row>
    <row r="364" ht="15" spans="1:14">
      <c r="A364" s="8">
        <v>362</v>
      </c>
      <c r="B364" s="8"/>
      <c r="C364" s="8"/>
      <c r="D364" s="8"/>
      <c r="E364" s="23" t="s">
        <v>129</v>
      </c>
      <c r="F364" s="15" t="s">
        <v>1100</v>
      </c>
      <c r="G364" s="14" t="s">
        <v>1101</v>
      </c>
      <c r="H364" s="15">
        <v>1</v>
      </c>
      <c r="K364" s="16">
        <v>50</v>
      </c>
      <c r="L364" s="27">
        <v>0.01</v>
      </c>
      <c r="M364" s="28">
        <f t="shared" si="5"/>
        <v>50</v>
      </c>
      <c r="N364" s="23" t="s">
        <v>519</v>
      </c>
    </row>
    <row r="365" ht="15" spans="1:14">
      <c r="A365" s="8">
        <v>363</v>
      </c>
      <c r="B365" s="8"/>
      <c r="C365" s="8"/>
      <c r="D365" s="8"/>
      <c r="E365" s="23" t="s">
        <v>129</v>
      </c>
      <c r="F365" s="15" t="s">
        <v>1102</v>
      </c>
      <c r="G365" s="14" t="s">
        <v>1103</v>
      </c>
      <c r="H365" s="15">
        <v>8</v>
      </c>
      <c r="K365" s="16">
        <v>2.5</v>
      </c>
      <c r="L365" s="27">
        <v>0.01</v>
      </c>
      <c r="M365" s="28">
        <f t="shared" si="5"/>
        <v>20</v>
      </c>
      <c r="N365" s="23" t="s">
        <v>519</v>
      </c>
    </row>
    <row r="366" ht="15" spans="1:14">
      <c r="A366" s="8">
        <v>364</v>
      </c>
      <c r="B366" s="8"/>
      <c r="C366" s="8"/>
      <c r="D366" s="8"/>
      <c r="E366" s="23" t="s">
        <v>129</v>
      </c>
      <c r="F366" s="15" t="s">
        <v>1102</v>
      </c>
      <c r="G366" s="14" t="s">
        <v>1104</v>
      </c>
      <c r="H366" s="15">
        <v>10</v>
      </c>
      <c r="K366" s="16">
        <v>2</v>
      </c>
      <c r="L366" s="27">
        <v>0.01</v>
      </c>
      <c r="M366" s="28">
        <f t="shared" si="5"/>
        <v>20</v>
      </c>
      <c r="N366" s="23" t="s">
        <v>519</v>
      </c>
    </row>
    <row r="367" ht="15" spans="1:14">
      <c r="A367" s="8">
        <v>365</v>
      </c>
      <c r="B367" s="8"/>
      <c r="C367" s="8"/>
      <c r="D367" s="8"/>
      <c r="E367" s="23" t="s">
        <v>129</v>
      </c>
      <c r="F367" s="15" t="s">
        <v>1105</v>
      </c>
      <c r="G367" s="14" t="s">
        <v>1106</v>
      </c>
      <c r="H367" s="15">
        <v>1</v>
      </c>
      <c r="K367" s="16">
        <v>21</v>
      </c>
      <c r="L367" s="27">
        <v>0.01</v>
      </c>
      <c r="M367" s="28">
        <f t="shared" si="5"/>
        <v>21</v>
      </c>
      <c r="N367" s="23" t="s">
        <v>519</v>
      </c>
    </row>
    <row r="368" ht="15" spans="1:14">
      <c r="A368" s="8">
        <v>366</v>
      </c>
      <c r="B368" s="8"/>
      <c r="C368" s="8"/>
      <c r="D368" s="8"/>
      <c r="E368" s="23" t="s">
        <v>129</v>
      </c>
      <c r="F368" s="15" t="s">
        <v>1107</v>
      </c>
      <c r="G368" s="14" t="s">
        <v>1103</v>
      </c>
      <c r="H368" s="15">
        <v>1</v>
      </c>
      <c r="K368" s="16">
        <v>40</v>
      </c>
      <c r="L368" s="27">
        <v>0.01</v>
      </c>
      <c r="M368" s="28">
        <f t="shared" si="5"/>
        <v>40</v>
      </c>
      <c r="N368" s="23" t="s">
        <v>519</v>
      </c>
    </row>
    <row r="369" ht="15" spans="1:14">
      <c r="A369" s="8">
        <v>367</v>
      </c>
      <c r="B369" s="8"/>
      <c r="C369" s="8"/>
      <c r="D369" s="8"/>
      <c r="E369" s="23" t="s">
        <v>129</v>
      </c>
      <c r="F369" s="15" t="s">
        <v>1108</v>
      </c>
      <c r="G369" s="14" t="s">
        <v>1109</v>
      </c>
      <c r="H369" s="15">
        <v>15</v>
      </c>
      <c r="K369" s="16">
        <v>14</v>
      </c>
      <c r="L369" s="27">
        <v>0.01</v>
      </c>
      <c r="M369" s="28">
        <f t="shared" si="5"/>
        <v>210</v>
      </c>
      <c r="N369" s="23" t="s">
        <v>519</v>
      </c>
    </row>
    <row r="370" ht="15" spans="1:14">
      <c r="A370" s="8">
        <v>368</v>
      </c>
      <c r="B370" s="8"/>
      <c r="C370" s="8"/>
      <c r="D370" s="8"/>
      <c r="E370" s="23" t="s">
        <v>129</v>
      </c>
      <c r="F370" s="15" t="s">
        <v>1110</v>
      </c>
      <c r="G370" s="14" t="s">
        <v>1111</v>
      </c>
      <c r="H370" s="15">
        <v>1</v>
      </c>
      <c r="K370" s="16">
        <v>13</v>
      </c>
      <c r="L370" s="27">
        <v>0.01</v>
      </c>
      <c r="M370" s="28">
        <f t="shared" si="5"/>
        <v>13</v>
      </c>
      <c r="N370" s="23" t="s">
        <v>519</v>
      </c>
    </row>
    <row r="371" ht="15" spans="1:14">
      <c r="A371" s="8">
        <v>369</v>
      </c>
      <c r="B371" s="8"/>
      <c r="C371" s="8"/>
      <c r="D371" s="8"/>
      <c r="E371" s="23" t="s">
        <v>129</v>
      </c>
      <c r="F371" s="15" t="s">
        <v>1112</v>
      </c>
      <c r="G371" s="14" t="s">
        <v>1113</v>
      </c>
      <c r="H371" s="15">
        <v>3</v>
      </c>
      <c r="K371" s="16">
        <v>3.4</v>
      </c>
      <c r="L371" s="27">
        <v>0.01</v>
      </c>
      <c r="M371" s="28">
        <f t="shared" si="5"/>
        <v>10.2</v>
      </c>
      <c r="N371" s="23" t="s">
        <v>519</v>
      </c>
    </row>
    <row r="372" ht="15" spans="1:14">
      <c r="A372" s="8">
        <v>370</v>
      </c>
      <c r="B372" s="8"/>
      <c r="C372" s="8"/>
      <c r="D372" s="8"/>
      <c r="E372" s="23" t="s">
        <v>129</v>
      </c>
      <c r="F372" s="15" t="s">
        <v>1114</v>
      </c>
      <c r="G372" s="14" t="s">
        <v>1115</v>
      </c>
      <c r="H372" s="15">
        <v>1</v>
      </c>
      <c r="K372" s="16">
        <v>132</v>
      </c>
      <c r="L372" s="27">
        <v>0.01</v>
      </c>
      <c r="M372" s="28">
        <f t="shared" si="5"/>
        <v>132</v>
      </c>
      <c r="N372" s="23" t="s">
        <v>519</v>
      </c>
    </row>
    <row r="373" ht="15" spans="1:14">
      <c r="A373" s="8">
        <v>371</v>
      </c>
      <c r="B373" s="8"/>
      <c r="C373" s="8"/>
      <c r="D373" s="8"/>
      <c r="E373" s="23" t="s">
        <v>129</v>
      </c>
      <c r="F373" s="15" t="s">
        <v>1064</v>
      </c>
      <c r="G373" s="14">
        <v>5225</v>
      </c>
      <c r="H373" s="15">
        <v>1</v>
      </c>
      <c r="K373" s="16">
        <v>105</v>
      </c>
      <c r="L373" s="27">
        <v>0.01</v>
      </c>
      <c r="M373" s="28">
        <f t="shared" si="5"/>
        <v>105</v>
      </c>
      <c r="N373" s="23" t="s">
        <v>519</v>
      </c>
    </row>
    <row r="374" ht="15" spans="1:14">
      <c r="A374" s="8">
        <v>372</v>
      </c>
      <c r="B374" s="8"/>
      <c r="C374" s="8"/>
      <c r="D374" s="8"/>
      <c r="E374" s="23" t="s">
        <v>129</v>
      </c>
      <c r="F374" s="15" t="s">
        <v>1088</v>
      </c>
      <c r="G374" s="14"/>
      <c r="H374" s="15">
        <v>1</v>
      </c>
      <c r="K374" s="16">
        <v>190</v>
      </c>
      <c r="L374" s="27">
        <v>0.01</v>
      </c>
      <c r="M374" s="28">
        <f t="shared" si="5"/>
        <v>190</v>
      </c>
      <c r="N374" s="23" t="s">
        <v>519</v>
      </c>
    </row>
    <row r="375" ht="15" spans="1:14">
      <c r="A375" s="8">
        <v>373</v>
      </c>
      <c r="B375" s="8"/>
      <c r="C375" s="8"/>
      <c r="D375" s="8"/>
      <c r="E375" s="23" t="s">
        <v>129</v>
      </c>
      <c r="F375" s="15" t="s">
        <v>1116</v>
      </c>
      <c r="G375" s="14"/>
      <c r="H375" s="15">
        <v>2</v>
      </c>
      <c r="K375" s="16">
        <v>36</v>
      </c>
      <c r="L375" s="27">
        <v>0.01</v>
      </c>
      <c r="M375" s="28">
        <f t="shared" si="5"/>
        <v>72</v>
      </c>
      <c r="N375" s="23" t="s">
        <v>519</v>
      </c>
    </row>
    <row r="376" ht="15" spans="1:14">
      <c r="A376" s="8">
        <v>374</v>
      </c>
      <c r="B376" s="8"/>
      <c r="C376" s="8"/>
      <c r="D376" s="8"/>
      <c r="E376" s="23" t="s">
        <v>129</v>
      </c>
      <c r="F376" s="15" t="s">
        <v>1117</v>
      </c>
      <c r="G376" s="14"/>
      <c r="H376" s="15">
        <v>2</v>
      </c>
      <c r="K376" s="16">
        <v>16.5</v>
      </c>
      <c r="L376" s="27">
        <v>0.01</v>
      </c>
      <c r="M376" s="28">
        <f t="shared" si="5"/>
        <v>33</v>
      </c>
      <c r="N376" s="23" t="s">
        <v>519</v>
      </c>
    </row>
    <row r="377" ht="15" spans="1:14">
      <c r="A377" s="8">
        <v>375</v>
      </c>
      <c r="B377" s="8"/>
      <c r="C377" s="8"/>
      <c r="D377" s="8"/>
      <c r="E377" s="23" t="s">
        <v>129</v>
      </c>
      <c r="F377" s="15" t="s">
        <v>1118</v>
      </c>
      <c r="G377" s="14" t="s">
        <v>1119</v>
      </c>
      <c r="H377" s="15">
        <v>2</v>
      </c>
      <c r="K377" s="16">
        <v>22</v>
      </c>
      <c r="L377" s="27">
        <v>0.01</v>
      </c>
      <c r="M377" s="28">
        <f t="shared" si="5"/>
        <v>44</v>
      </c>
      <c r="N377" s="23" t="s">
        <v>519</v>
      </c>
    </row>
    <row r="378" ht="30" spans="1:14">
      <c r="A378" s="8">
        <v>376</v>
      </c>
      <c r="B378" s="8"/>
      <c r="C378" s="8"/>
      <c r="D378" s="8"/>
      <c r="E378" s="23" t="s">
        <v>129</v>
      </c>
      <c r="F378" s="15" t="s">
        <v>1120</v>
      </c>
      <c r="G378" s="14" t="s">
        <v>1121</v>
      </c>
      <c r="H378" s="15">
        <v>1</v>
      </c>
      <c r="K378" s="16">
        <v>6.5</v>
      </c>
      <c r="L378" s="27">
        <v>0.01</v>
      </c>
      <c r="M378" s="28">
        <f t="shared" si="5"/>
        <v>6.5</v>
      </c>
      <c r="N378" s="23" t="s">
        <v>519</v>
      </c>
    </row>
    <row r="379" ht="15" spans="1:14">
      <c r="A379" s="8">
        <v>377</v>
      </c>
      <c r="B379" s="8"/>
      <c r="C379" s="8"/>
      <c r="D379" s="8"/>
      <c r="E379" s="23" t="s">
        <v>129</v>
      </c>
      <c r="F379" s="15" t="s">
        <v>898</v>
      </c>
      <c r="G379" s="14"/>
      <c r="H379" s="15">
        <v>1</v>
      </c>
      <c r="K379" s="16">
        <v>65</v>
      </c>
      <c r="L379" s="27">
        <v>0.01</v>
      </c>
      <c r="M379" s="28">
        <f t="shared" si="5"/>
        <v>65</v>
      </c>
      <c r="N379" s="23" t="s">
        <v>519</v>
      </c>
    </row>
    <row r="380" ht="15" spans="1:14">
      <c r="A380" s="8">
        <v>378</v>
      </c>
      <c r="E380" s="23" t="s">
        <v>129</v>
      </c>
      <c r="F380" s="15" t="s">
        <v>1122</v>
      </c>
      <c r="G380" s="14" t="s">
        <v>1123</v>
      </c>
      <c r="H380" s="15">
        <v>4</v>
      </c>
      <c r="K380" s="16">
        <v>7.5</v>
      </c>
      <c r="L380" s="27">
        <v>0.01</v>
      </c>
      <c r="M380" s="28">
        <f t="shared" si="5"/>
        <v>30</v>
      </c>
      <c r="N380" s="23" t="s">
        <v>519</v>
      </c>
    </row>
    <row r="381" ht="15" spans="1:14">
      <c r="A381" s="8">
        <v>379</v>
      </c>
      <c r="E381" s="23" t="s">
        <v>129</v>
      </c>
      <c r="F381" s="15" t="s">
        <v>1124</v>
      </c>
      <c r="G381" s="14" t="s">
        <v>1125</v>
      </c>
      <c r="H381" s="15">
        <v>1</v>
      </c>
      <c r="K381" s="16">
        <v>92</v>
      </c>
      <c r="L381" s="27">
        <v>0.01</v>
      </c>
      <c r="M381" s="28">
        <f t="shared" si="5"/>
        <v>92</v>
      </c>
      <c r="N381" s="23" t="s">
        <v>519</v>
      </c>
    </row>
    <row r="382" ht="30" spans="1:14">
      <c r="A382" s="8">
        <v>380</v>
      </c>
      <c r="E382" s="23" t="s">
        <v>129</v>
      </c>
      <c r="F382" s="15" t="s">
        <v>1055</v>
      </c>
      <c r="G382" s="14" t="s">
        <v>1126</v>
      </c>
      <c r="H382" s="15">
        <v>1</v>
      </c>
      <c r="K382" s="16">
        <v>350</v>
      </c>
      <c r="L382" s="27">
        <v>0.01</v>
      </c>
      <c r="M382" s="28">
        <f t="shared" si="5"/>
        <v>350</v>
      </c>
      <c r="N382" s="23" t="s">
        <v>519</v>
      </c>
    </row>
    <row r="383" ht="15" spans="1:14">
      <c r="A383" s="8">
        <v>381</v>
      </c>
      <c r="E383" s="23" t="s">
        <v>129</v>
      </c>
      <c r="F383" s="15" t="s">
        <v>1127</v>
      </c>
      <c r="G383" s="14" t="s">
        <v>1128</v>
      </c>
      <c r="H383" s="15">
        <v>1</v>
      </c>
      <c r="K383" s="16">
        <v>25</v>
      </c>
      <c r="L383" s="27">
        <v>0.01</v>
      </c>
      <c r="M383" s="28">
        <f t="shared" si="5"/>
        <v>25</v>
      </c>
      <c r="N383" s="23" t="s">
        <v>519</v>
      </c>
    </row>
    <row r="384" ht="15" spans="1:14">
      <c r="A384" s="8">
        <v>382</v>
      </c>
      <c r="E384" s="23" t="s">
        <v>129</v>
      </c>
      <c r="F384" s="15" t="s">
        <v>1129</v>
      </c>
      <c r="G384" s="14" t="s">
        <v>1130</v>
      </c>
      <c r="H384" s="15">
        <v>1</v>
      </c>
      <c r="K384" s="16">
        <v>30</v>
      </c>
      <c r="L384" s="27">
        <v>0.01</v>
      </c>
      <c r="M384" s="28">
        <f t="shared" si="5"/>
        <v>30</v>
      </c>
      <c r="N384" s="23" t="s">
        <v>519</v>
      </c>
    </row>
    <row r="385" ht="15" spans="1:14">
      <c r="A385" s="8">
        <v>383</v>
      </c>
      <c r="E385" s="23" t="s">
        <v>129</v>
      </c>
      <c r="F385" s="15" t="s">
        <v>1131</v>
      </c>
      <c r="G385" s="14"/>
      <c r="H385" s="15">
        <v>1</v>
      </c>
      <c r="K385" s="16">
        <v>133</v>
      </c>
      <c r="L385" s="27">
        <v>0.01</v>
      </c>
      <c r="M385" s="28">
        <f t="shared" si="5"/>
        <v>133</v>
      </c>
      <c r="N385" s="23" t="s">
        <v>519</v>
      </c>
    </row>
    <row r="386" ht="15" spans="1:14">
      <c r="A386" s="8">
        <v>384</v>
      </c>
      <c r="E386" s="23" t="s">
        <v>129</v>
      </c>
      <c r="F386" s="15" t="s">
        <v>1132</v>
      </c>
      <c r="G386" s="14" t="s">
        <v>1133</v>
      </c>
      <c r="H386" s="15">
        <v>1</v>
      </c>
      <c r="K386" s="16">
        <v>185</v>
      </c>
      <c r="L386" s="27">
        <v>0.01</v>
      </c>
      <c r="M386" s="28">
        <f t="shared" si="5"/>
        <v>185</v>
      </c>
      <c r="N386" s="23" t="s">
        <v>519</v>
      </c>
    </row>
    <row r="387" ht="15" spans="1:14">
      <c r="A387" s="8">
        <v>385</v>
      </c>
      <c r="E387" s="23" t="s">
        <v>129</v>
      </c>
      <c r="F387" s="15" t="s">
        <v>896</v>
      </c>
      <c r="G387" s="14">
        <v>3</v>
      </c>
      <c r="H387" s="15">
        <v>3</v>
      </c>
      <c r="K387" s="16">
        <v>6</v>
      </c>
      <c r="L387" s="27">
        <v>0.01</v>
      </c>
      <c r="M387" s="28">
        <f t="shared" si="5"/>
        <v>18</v>
      </c>
      <c r="N387" s="23" t="s">
        <v>519</v>
      </c>
    </row>
    <row r="388" ht="30" spans="1:14">
      <c r="A388" s="8">
        <v>386</v>
      </c>
      <c r="E388" s="23" t="s">
        <v>129</v>
      </c>
      <c r="F388" s="15" t="s">
        <v>856</v>
      </c>
      <c r="G388" s="14" t="s">
        <v>1134</v>
      </c>
      <c r="H388" s="15">
        <v>10</v>
      </c>
      <c r="K388" s="16">
        <v>11</v>
      </c>
      <c r="L388" s="27">
        <v>0.01</v>
      </c>
      <c r="M388" s="28">
        <f t="shared" ref="M388:M451" si="6">H388*K388</f>
        <v>110</v>
      </c>
      <c r="N388" s="23" t="s">
        <v>519</v>
      </c>
    </row>
    <row r="389" ht="30" spans="1:14">
      <c r="A389" s="8">
        <v>387</v>
      </c>
      <c r="E389" s="23" t="s">
        <v>129</v>
      </c>
      <c r="F389" s="15" t="s">
        <v>1135</v>
      </c>
      <c r="G389" s="14" t="s">
        <v>1136</v>
      </c>
      <c r="H389" s="15">
        <v>10</v>
      </c>
      <c r="K389" s="16">
        <v>0.8</v>
      </c>
      <c r="L389" s="27">
        <v>0.01</v>
      </c>
      <c r="M389" s="28">
        <f t="shared" si="6"/>
        <v>8</v>
      </c>
      <c r="N389" s="23" t="s">
        <v>519</v>
      </c>
    </row>
    <row r="390" ht="15" spans="1:14">
      <c r="A390" s="8">
        <v>388</v>
      </c>
      <c r="E390" s="23" t="s">
        <v>129</v>
      </c>
      <c r="F390" s="15" t="s">
        <v>1137</v>
      </c>
      <c r="G390" s="14" t="s">
        <v>1138</v>
      </c>
      <c r="H390" s="15">
        <v>1</v>
      </c>
      <c r="K390" s="16">
        <v>100</v>
      </c>
      <c r="L390" s="27">
        <v>0.01</v>
      </c>
      <c r="M390" s="28">
        <f t="shared" si="6"/>
        <v>100</v>
      </c>
      <c r="N390" s="23" t="s">
        <v>519</v>
      </c>
    </row>
    <row r="391" ht="30" spans="1:14">
      <c r="A391" s="8">
        <v>389</v>
      </c>
      <c r="E391" s="23" t="s">
        <v>129</v>
      </c>
      <c r="F391" s="15" t="s">
        <v>534</v>
      </c>
      <c r="G391" s="14" t="s">
        <v>1139</v>
      </c>
      <c r="H391" s="15">
        <v>10</v>
      </c>
      <c r="K391" s="16">
        <v>44.5</v>
      </c>
      <c r="L391" s="27">
        <v>0.01</v>
      </c>
      <c r="M391" s="28">
        <f t="shared" si="6"/>
        <v>445</v>
      </c>
      <c r="N391" s="23" t="s">
        <v>519</v>
      </c>
    </row>
    <row r="392" ht="15" spans="1:14">
      <c r="A392" s="8">
        <v>390</v>
      </c>
      <c r="E392" s="23" t="s">
        <v>129</v>
      </c>
      <c r="F392" s="15" t="s">
        <v>931</v>
      </c>
      <c r="G392" s="14" t="s">
        <v>1140</v>
      </c>
      <c r="H392" s="15">
        <v>1</v>
      </c>
      <c r="K392" s="16">
        <v>245</v>
      </c>
      <c r="L392" s="27">
        <v>0.01</v>
      </c>
      <c r="M392" s="28">
        <f t="shared" si="6"/>
        <v>245</v>
      </c>
      <c r="N392" s="23" t="s">
        <v>519</v>
      </c>
    </row>
    <row r="393" ht="15" spans="1:14">
      <c r="A393" s="8">
        <v>391</v>
      </c>
      <c r="E393" s="23" t="s">
        <v>129</v>
      </c>
      <c r="F393" s="15" t="s">
        <v>1141</v>
      </c>
      <c r="G393" s="14" t="s">
        <v>1142</v>
      </c>
      <c r="H393" s="15">
        <v>1</v>
      </c>
      <c r="K393" s="16">
        <v>140</v>
      </c>
      <c r="L393" s="27">
        <v>0.01</v>
      </c>
      <c r="M393" s="28">
        <f t="shared" si="6"/>
        <v>140</v>
      </c>
      <c r="N393" s="23" t="s">
        <v>519</v>
      </c>
    </row>
    <row r="394" ht="15" spans="1:14">
      <c r="A394" s="8">
        <v>392</v>
      </c>
      <c r="E394" s="23" t="s">
        <v>129</v>
      </c>
      <c r="F394" s="15" t="s">
        <v>1143</v>
      </c>
      <c r="G394" s="14" t="s">
        <v>1144</v>
      </c>
      <c r="H394" s="15">
        <v>10</v>
      </c>
      <c r="K394" s="16">
        <v>0.8</v>
      </c>
      <c r="L394" s="27">
        <v>0.01</v>
      </c>
      <c r="M394" s="28">
        <f t="shared" si="6"/>
        <v>8</v>
      </c>
      <c r="N394" s="23" t="s">
        <v>519</v>
      </c>
    </row>
    <row r="395" ht="15" spans="1:14">
      <c r="A395" s="8">
        <v>393</v>
      </c>
      <c r="E395" s="23" t="s">
        <v>129</v>
      </c>
      <c r="F395" s="15" t="s">
        <v>1143</v>
      </c>
      <c r="G395" s="14" t="s">
        <v>1145</v>
      </c>
      <c r="H395" s="15">
        <v>10</v>
      </c>
      <c r="K395" s="16">
        <v>0.8</v>
      </c>
      <c r="L395" s="27">
        <v>0.01</v>
      </c>
      <c r="M395" s="28">
        <f t="shared" si="6"/>
        <v>8</v>
      </c>
      <c r="N395" s="23" t="s">
        <v>519</v>
      </c>
    </row>
    <row r="396" ht="30" spans="1:14">
      <c r="A396" s="8">
        <v>394</v>
      </c>
      <c r="E396" s="23" t="s">
        <v>129</v>
      </c>
      <c r="F396" s="15" t="s">
        <v>917</v>
      </c>
      <c r="G396" s="14" t="s">
        <v>1146</v>
      </c>
      <c r="H396" s="15">
        <v>5</v>
      </c>
      <c r="K396" s="16">
        <v>20</v>
      </c>
      <c r="L396" s="27">
        <v>0.01</v>
      </c>
      <c r="M396" s="28">
        <f t="shared" si="6"/>
        <v>100</v>
      </c>
      <c r="N396" s="23" t="s">
        <v>519</v>
      </c>
    </row>
    <row r="397" ht="15" spans="1:14">
      <c r="A397" s="8">
        <v>395</v>
      </c>
      <c r="E397" s="23" t="s">
        <v>129</v>
      </c>
      <c r="F397" s="15" t="s">
        <v>1147</v>
      </c>
      <c r="G397" s="14" t="s">
        <v>1148</v>
      </c>
      <c r="H397" s="15">
        <v>1</v>
      </c>
      <c r="K397" s="16">
        <v>420</v>
      </c>
      <c r="L397" s="27">
        <v>0.01</v>
      </c>
      <c r="M397" s="28">
        <f t="shared" si="6"/>
        <v>420</v>
      </c>
      <c r="N397" s="23" t="s">
        <v>519</v>
      </c>
    </row>
    <row r="398" ht="15" spans="1:14">
      <c r="A398" s="8">
        <v>396</v>
      </c>
      <c r="E398" s="23" t="s">
        <v>129</v>
      </c>
      <c r="F398" s="15" t="s">
        <v>1149</v>
      </c>
      <c r="G398" s="14"/>
      <c r="H398" s="15">
        <v>1</v>
      </c>
      <c r="K398" s="16">
        <v>75</v>
      </c>
      <c r="L398" s="27">
        <v>0.01</v>
      </c>
      <c r="M398" s="28">
        <f t="shared" si="6"/>
        <v>75</v>
      </c>
      <c r="N398" s="23" t="s">
        <v>519</v>
      </c>
    </row>
    <row r="399" ht="30" spans="1:14">
      <c r="A399" s="8">
        <v>397</v>
      </c>
      <c r="E399" s="23" t="s">
        <v>129</v>
      </c>
      <c r="F399" s="15" t="s">
        <v>1150</v>
      </c>
      <c r="G399" s="14" t="s">
        <v>1151</v>
      </c>
      <c r="H399" s="15">
        <v>1</v>
      </c>
      <c r="K399" s="16">
        <v>3370</v>
      </c>
      <c r="L399" s="27">
        <v>0.01</v>
      </c>
      <c r="M399" s="28">
        <f t="shared" si="6"/>
        <v>3370</v>
      </c>
      <c r="N399" s="23" t="s">
        <v>519</v>
      </c>
    </row>
    <row r="400" ht="45" spans="1:14">
      <c r="A400" s="8">
        <v>398</v>
      </c>
      <c r="E400" s="23" t="s">
        <v>129</v>
      </c>
      <c r="F400" s="15" t="s">
        <v>1150</v>
      </c>
      <c r="G400" s="14" t="s">
        <v>1152</v>
      </c>
      <c r="H400" s="15">
        <v>1</v>
      </c>
      <c r="K400" s="16">
        <v>2425</v>
      </c>
      <c r="L400" s="27">
        <v>0.01</v>
      </c>
      <c r="M400" s="28">
        <f t="shared" si="6"/>
        <v>2425</v>
      </c>
      <c r="N400" s="23" t="s">
        <v>519</v>
      </c>
    </row>
    <row r="401" ht="15" spans="1:14">
      <c r="A401" s="8">
        <v>399</v>
      </c>
      <c r="E401" s="23" t="s">
        <v>129</v>
      </c>
      <c r="F401" s="15" t="s">
        <v>1153</v>
      </c>
      <c r="G401" s="14"/>
      <c r="H401" s="15">
        <v>3</v>
      </c>
      <c r="K401" s="16">
        <v>5</v>
      </c>
      <c r="L401" s="27">
        <v>0.01</v>
      </c>
      <c r="M401" s="28">
        <f t="shared" si="6"/>
        <v>15</v>
      </c>
      <c r="N401" s="23" t="s">
        <v>519</v>
      </c>
    </row>
    <row r="402" ht="15" spans="1:14">
      <c r="A402" s="8">
        <v>400</v>
      </c>
      <c r="E402" s="23" t="s">
        <v>129</v>
      </c>
      <c r="F402" s="15" t="s">
        <v>1154</v>
      </c>
      <c r="G402" s="14" t="s">
        <v>1155</v>
      </c>
      <c r="H402" s="15">
        <v>200</v>
      </c>
      <c r="K402" s="16">
        <v>0.75</v>
      </c>
      <c r="L402" s="27">
        <v>0.01</v>
      </c>
      <c r="M402" s="28">
        <f t="shared" si="6"/>
        <v>150</v>
      </c>
      <c r="N402" s="23" t="s">
        <v>519</v>
      </c>
    </row>
    <row r="403" ht="15" spans="1:14">
      <c r="A403" s="8">
        <v>401</v>
      </c>
      <c r="E403" s="23" t="s">
        <v>129</v>
      </c>
      <c r="F403" s="15" t="s">
        <v>1156</v>
      </c>
      <c r="G403" s="14" t="s">
        <v>1157</v>
      </c>
      <c r="H403" s="15">
        <v>2</v>
      </c>
      <c r="K403" s="16">
        <v>18</v>
      </c>
      <c r="L403" s="27">
        <v>0.01</v>
      </c>
      <c r="M403" s="28">
        <f t="shared" si="6"/>
        <v>36</v>
      </c>
      <c r="N403" s="23" t="s">
        <v>519</v>
      </c>
    </row>
    <row r="404" ht="15" spans="1:14">
      <c r="A404" s="8">
        <v>402</v>
      </c>
      <c r="E404" s="23" t="s">
        <v>129</v>
      </c>
      <c r="F404" s="15" t="s">
        <v>1158</v>
      </c>
      <c r="G404" s="14" t="s">
        <v>576</v>
      </c>
      <c r="H404" s="15">
        <v>5</v>
      </c>
      <c r="K404" s="16">
        <v>30</v>
      </c>
      <c r="L404" s="27">
        <v>0.01</v>
      </c>
      <c r="M404" s="28">
        <f t="shared" si="6"/>
        <v>150</v>
      </c>
      <c r="N404" s="23" t="s">
        <v>519</v>
      </c>
    </row>
    <row r="405" ht="15" spans="1:14">
      <c r="A405" s="8">
        <v>403</v>
      </c>
      <c r="E405" s="23" t="s">
        <v>129</v>
      </c>
      <c r="F405" s="15" t="s">
        <v>1159</v>
      </c>
      <c r="G405" s="14" t="s">
        <v>1160</v>
      </c>
      <c r="H405" s="15">
        <v>1</v>
      </c>
      <c r="K405" s="16">
        <v>10</v>
      </c>
      <c r="L405" s="27">
        <v>0.01</v>
      </c>
      <c r="M405" s="28">
        <f t="shared" si="6"/>
        <v>10</v>
      </c>
      <c r="N405" s="23" t="s">
        <v>519</v>
      </c>
    </row>
    <row r="406" ht="15" spans="1:14">
      <c r="A406" s="8">
        <v>404</v>
      </c>
      <c r="E406" s="23" t="s">
        <v>129</v>
      </c>
      <c r="F406" s="15" t="s">
        <v>1161</v>
      </c>
      <c r="G406" s="14" t="s">
        <v>788</v>
      </c>
      <c r="H406" s="15">
        <v>30</v>
      </c>
      <c r="K406" s="16">
        <v>3</v>
      </c>
      <c r="L406" s="27">
        <v>0.01</v>
      </c>
      <c r="M406" s="28">
        <f t="shared" si="6"/>
        <v>90</v>
      </c>
      <c r="N406" s="23" t="s">
        <v>519</v>
      </c>
    </row>
    <row r="407" ht="15" spans="1:14">
      <c r="A407" s="8">
        <v>405</v>
      </c>
      <c r="E407" s="23" t="s">
        <v>129</v>
      </c>
      <c r="F407" s="15" t="s">
        <v>1162</v>
      </c>
      <c r="G407" s="14" t="s">
        <v>1163</v>
      </c>
      <c r="H407" s="15">
        <v>20</v>
      </c>
      <c r="K407" s="16">
        <v>4.7</v>
      </c>
      <c r="L407" s="27">
        <v>0.01</v>
      </c>
      <c r="M407" s="28">
        <f t="shared" si="6"/>
        <v>94</v>
      </c>
      <c r="N407" s="23" t="s">
        <v>519</v>
      </c>
    </row>
    <row r="408" ht="15" spans="1:14">
      <c r="A408" s="8">
        <v>406</v>
      </c>
      <c r="E408" s="23" t="s">
        <v>129</v>
      </c>
      <c r="F408" s="15" t="s">
        <v>1164</v>
      </c>
      <c r="G408" s="14" t="s">
        <v>1165</v>
      </c>
      <c r="H408" s="15">
        <v>30</v>
      </c>
      <c r="K408" s="16">
        <v>6</v>
      </c>
      <c r="L408" s="27">
        <v>0.01</v>
      </c>
      <c r="M408" s="28">
        <f t="shared" si="6"/>
        <v>180</v>
      </c>
      <c r="N408" s="23" t="s">
        <v>519</v>
      </c>
    </row>
    <row r="409" ht="15" spans="1:14">
      <c r="A409" s="8">
        <v>407</v>
      </c>
      <c r="E409" s="23" t="s">
        <v>129</v>
      </c>
      <c r="F409" s="15" t="s">
        <v>1166</v>
      </c>
      <c r="G409" s="14" t="s">
        <v>1167</v>
      </c>
      <c r="H409" s="15">
        <v>1</v>
      </c>
      <c r="K409" s="16">
        <v>30</v>
      </c>
      <c r="L409" s="27">
        <v>0.01</v>
      </c>
      <c r="M409" s="28">
        <f t="shared" si="6"/>
        <v>30</v>
      </c>
      <c r="N409" s="23" t="s">
        <v>519</v>
      </c>
    </row>
    <row r="410" ht="15" spans="1:14">
      <c r="A410" s="8">
        <v>408</v>
      </c>
      <c r="E410" s="23" t="s">
        <v>129</v>
      </c>
      <c r="F410" s="15" t="s">
        <v>1168</v>
      </c>
      <c r="G410" s="14" t="s">
        <v>1169</v>
      </c>
      <c r="H410" s="15">
        <v>1</v>
      </c>
      <c r="K410" s="16">
        <v>135</v>
      </c>
      <c r="L410" s="27">
        <v>0.01</v>
      </c>
      <c r="M410" s="28">
        <f t="shared" si="6"/>
        <v>135</v>
      </c>
      <c r="N410" s="23" t="s">
        <v>519</v>
      </c>
    </row>
    <row r="411" ht="15" spans="1:14">
      <c r="A411" s="8">
        <v>409</v>
      </c>
      <c r="E411" s="23" t="s">
        <v>129</v>
      </c>
      <c r="F411" s="15" t="s">
        <v>1170</v>
      </c>
      <c r="G411" s="14" t="s">
        <v>1171</v>
      </c>
      <c r="H411" s="15">
        <v>1</v>
      </c>
      <c r="K411" s="16">
        <v>510</v>
      </c>
      <c r="L411" s="27">
        <v>0.01</v>
      </c>
      <c r="M411" s="28">
        <f t="shared" si="6"/>
        <v>510</v>
      </c>
      <c r="N411" s="23" t="s">
        <v>519</v>
      </c>
    </row>
    <row r="412" ht="15" spans="1:14">
      <c r="A412" s="8">
        <v>410</v>
      </c>
      <c r="E412" s="23" t="s">
        <v>129</v>
      </c>
      <c r="F412" s="15" t="s">
        <v>1153</v>
      </c>
      <c r="G412" s="14" t="s">
        <v>1172</v>
      </c>
      <c r="H412" s="15">
        <v>1</v>
      </c>
      <c r="K412" s="16">
        <v>7</v>
      </c>
      <c r="L412" s="27">
        <v>0.01</v>
      </c>
      <c r="M412" s="28">
        <f t="shared" si="6"/>
        <v>7</v>
      </c>
      <c r="N412" s="23" t="s">
        <v>519</v>
      </c>
    </row>
    <row r="413" ht="30" spans="1:14">
      <c r="A413" s="8">
        <v>411</v>
      </c>
      <c r="E413" s="23" t="s">
        <v>129</v>
      </c>
      <c r="F413" s="15" t="s">
        <v>1173</v>
      </c>
      <c r="G413" s="14" t="s">
        <v>1174</v>
      </c>
      <c r="H413" s="15">
        <v>1</v>
      </c>
      <c r="K413" s="16">
        <v>16</v>
      </c>
      <c r="L413" s="27">
        <v>0.01</v>
      </c>
      <c r="M413" s="28">
        <f t="shared" si="6"/>
        <v>16</v>
      </c>
      <c r="N413" s="23" t="s">
        <v>519</v>
      </c>
    </row>
    <row r="414" ht="30" spans="1:14">
      <c r="A414" s="8">
        <v>412</v>
      </c>
      <c r="E414" s="23" t="s">
        <v>129</v>
      </c>
      <c r="F414" s="15" t="s">
        <v>1175</v>
      </c>
      <c r="G414" s="14" t="s">
        <v>1176</v>
      </c>
      <c r="H414" s="15">
        <v>1</v>
      </c>
      <c r="K414" s="16">
        <v>13</v>
      </c>
      <c r="L414" s="27">
        <v>0.01</v>
      </c>
      <c r="M414" s="28">
        <f t="shared" si="6"/>
        <v>13</v>
      </c>
      <c r="N414" s="23" t="s">
        <v>519</v>
      </c>
    </row>
    <row r="415" ht="15" spans="1:14">
      <c r="A415" s="8">
        <v>413</v>
      </c>
      <c r="E415" s="23" t="s">
        <v>129</v>
      </c>
      <c r="F415" s="15" t="s">
        <v>1177</v>
      </c>
      <c r="G415" s="14" t="s">
        <v>1178</v>
      </c>
      <c r="H415" s="15">
        <v>2</v>
      </c>
      <c r="K415" s="16">
        <v>15</v>
      </c>
      <c r="L415" s="27">
        <v>0.01</v>
      </c>
      <c r="M415" s="28">
        <f t="shared" si="6"/>
        <v>30</v>
      </c>
      <c r="N415" s="23" t="s">
        <v>519</v>
      </c>
    </row>
    <row r="416" ht="15" spans="1:14">
      <c r="A416" s="8">
        <v>414</v>
      </c>
      <c r="E416" s="23" t="s">
        <v>129</v>
      </c>
      <c r="F416" s="15" t="s">
        <v>1179</v>
      </c>
      <c r="G416" s="14"/>
      <c r="H416" s="15">
        <v>5</v>
      </c>
      <c r="K416" s="16">
        <v>3.5</v>
      </c>
      <c r="L416" s="27">
        <v>0.01</v>
      </c>
      <c r="M416" s="28">
        <f t="shared" si="6"/>
        <v>17.5</v>
      </c>
      <c r="N416" s="23" t="s">
        <v>519</v>
      </c>
    </row>
    <row r="417" ht="30" spans="1:14">
      <c r="A417" s="8">
        <v>415</v>
      </c>
      <c r="E417" s="23" t="s">
        <v>129</v>
      </c>
      <c r="F417" s="15" t="s">
        <v>1089</v>
      </c>
      <c r="G417" s="14" t="s">
        <v>1180</v>
      </c>
      <c r="H417" s="15">
        <v>15</v>
      </c>
      <c r="K417" s="16">
        <v>2.2</v>
      </c>
      <c r="L417" s="27">
        <v>0.01</v>
      </c>
      <c r="M417" s="28">
        <f t="shared" si="6"/>
        <v>33</v>
      </c>
      <c r="N417" s="23" t="s">
        <v>519</v>
      </c>
    </row>
    <row r="418" ht="15" spans="1:14">
      <c r="A418" s="8">
        <v>416</v>
      </c>
      <c r="E418" s="23" t="s">
        <v>129</v>
      </c>
      <c r="F418" s="15" t="s">
        <v>754</v>
      </c>
      <c r="G418" s="14" t="s">
        <v>1181</v>
      </c>
      <c r="H418" s="15">
        <v>2</v>
      </c>
      <c r="K418" s="16">
        <v>55</v>
      </c>
      <c r="L418" s="27">
        <v>0.01</v>
      </c>
      <c r="M418" s="28">
        <f t="shared" si="6"/>
        <v>110</v>
      </c>
      <c r="N418" s="23" t="s">
        <v>519</v>
      </c>
    </row>
    <row r="419" ht="15" spans="1:14">
      <c r="A419" s="8">
        <v>417</v>
      </c>
      <c r="E419" s="23" t="s">
        <v>129</v>
      </c>
      <c r="F419" s="15" t="s">
        <v>1182</v>
      </c>
      <c r="G419" s="14" t="s">
        <v>1183</v>
      </c>
      <c r="H419" s="15">
        <v>1</v>
      </c>
      <c r="K419" s="16">
        <v>330</v>
      </c>
      <c r="L419" s="27">
        <v>0.01</v>
      </c>
      <c r="M419" s="28">
        <f t="shared" si="6"/>
        <v>330</v>
      </c>
      <c r="N419" s="23" t="s">
        <v>519</v>
      </c>
    </row>
    <row r="420" ht="15" spans="1:14">
      <c r="A420" s="8">
        <v>418</v>
      </c>
      <c r="E420" s="23" t="s">
        <v>129</v>
      </c>
      <c r="F420" s="15" t="s">
        <v>623</v>
      </c>
      <c r="G420" s="14" t="s">
        <v>1184</v>
      </c>
      <c r="H420" s="15">
        <v>5</v>
      </c>
      <c r="K420" s="16">
        <v>22</v>
      </c>
      <c r="L420" s="27">
        <v>0.01</v>
      </c>
      <c r="M420" s="28">
        <f t="shared" si="6"/>
        <v>110</v>
      </c>
      <c r="N420" s="23" t="s">
        <v>519</v>
      </c>
    </row>
    <row r="421" ht="15" spans="1:14">
      <c r="A421" s="8">
        <v>419</v>
      </c>
      <c r="E421" s="23" t="s">
        <v>129</v>
      </c>
      <c r="F421" s="15" t="s">
        <v>1185</v>
      </c>
      <c r="G421" s="14" t="s">
        <v>1186</v>
      </c>
      <c r="H421" s="15">
        <v>50</v>
      </c>
      <c r="K421" s="16">
        <v>2.2</v>
      </c>
      <c r="L421" s="27">
        <v>0.01</v>
      </c>
      <c r="M421" s="28">
        <f t="shared" si="6"/>
        <v>110</v>
      </c>
      <c r="N421" s="23" t="s">
        <v>519</v>
      </c>
    </row>
    <row r="422" ht="30" spans="1:14">
      <c r="A422" s="8">
        <v>420</v>
      </c>
      <c r="E422" s="23" t="s">
        <v>129</v>
      </c>
      <c r="F422" s="15" t="s">
        <v>1143</v>
      </c>
      <c r="G422" s="14" t="s">
        <v>1187</v>
      </c>
      <c r="H422" s="15">
        <v>20</v>
      </c>
      <c r="K422" s="16">
        <v>1.5</v>
      </c>
      <c r="L422" s="27">
        <v>0.01</v>
      </c>
      <c r="M422" s="28">
        <f t="shared" si="6"/>
        <v>30</v>
      </c>
      <c r="N422" s="23" t="s">
        <v>519</v>
      </c>
    </row>
    <row r="423" ht="30" spans="1:14">
      <c r="A423" s="8">
        <v>421</v>
      </c>
      <c r="E423" s="23" t="s">
        <v>129</v>
      </c>
      <c r="F423" s="15" t="s">
        <v>1188</v>
      </c>
      <c r="G423" s="14" t="s">
        <v>1189</v>
      </c>
      <c r="H423" s="15">
        <v>4</v>
      </c>
      <c r="K423" s="16">
        <v>5.5</v>
      </c>
      <c r="L423" s="27">
        <v>0.01</v>
      </c>
      <c r="M423" s="28">
        <f t="shared" si="6"/>
        <v>22</v>
      </c>
      <c r="N423" s="23" t="s">
        <v>519</v>
      </c>
    </row>
    <row r="424" ht="15" spans="1:14">
      <c r="A424" s="8">
        <v>422</v>
      </c>
      <c r="E424" s="23" t="s">
        <v>129</v>
      </c>
      <c r="F424" s="15" t="s">
        <v>1190</v>
      </c>
      <c r="G424" s="14" t="s">
        <v>1191</v>
      </c>
      <c r="H424" s="15">
        <v>120</v>
      </c>
      <c r="K424" s="16">
        <v>2.85</v>
      </c>
      <c r="L424" s="27">
        <v>0.01</v>
      </c>
      <c r="M424" s="28">
        <f t="shared" si="6"/>
        <v>342</v>
      </c>
      <c r="N424" s="23" t="s">
        <v>519</v>
      </c>
    </row>
    <row r="425" ht="15" spans="1:14">
      <c r="A425" s="8">
        <v>423</v>
      </c>
      <c r="E425" s="23" t="s">
        <v>129</v>
      </c>
      <c r="F425" s="15" t="s">
        <v>1192</v>
      </c>
      <c r="G425" s="14" t="s">
        <v>1193</v>
      </c>
      <c r="H425" s="15">
        <v>1</v>
      </c>
      <c r="K425" s="16">
        <v>43</v>
      </c>
      <c r="L425" s="27">
        <v>0.01</v>
      </c>
      <c r="M425" s="28">
        <f t="shared" si="6"/>
        <v>43</v>
      </c>
      <c r="N425" s="23" t="s">
        <v>519</v>
      </c>
    </row>
    <row r="426" ht="15" spans="1:14">
      <c r="A426" s="8">
        <v>424</v>
      </c>
      <c r="E426" s="23" t="s">
        <v>129</v>
      </c>
      <c r="F426" s="15" t="s">
        <v>1192</v>
      </c>
      <c r="G426" s="14" t="s">
        <v>1194</v>
      </c>
      <c r="H426" s="15">
        <v>1</v>
      </c>
      <c r="K426" s="16">
        <v>43</v>
      </c>
      <c r="L426" s="27">
        <v>0.01</v>
      </c>
      <c r="M426" s="28">
        <f t="shared" si="6"/>
        <v>43</v>
      </c>
      <c r="N426" s="23" t="s">
        <v>519</v>
      </c>
    </row>
    <row r="427" ht="15" spans="1:14">
      <c r="A427" s="8">
        <v>425</v>
      </c>
      <c r="E427" s="23" t="s">
        <v>129</v>
      </c>
      <c r="F427" s="15" t="s">
        <v>1195</v>
      </c>
      <c r="G427" s="14" t="s">
        <v>1196</v>
      </c>
      <c r="H427" s="15">
        <v>1</v>
      </c>
      <c r="K427" s="16">
        <v>30</v>
      </c>
      <c r="L427" s="27">
        <v>0.01</v>
      </c>
      <c r="M427" s="28">
        <f t="shared" si="6"/>
        <v>30</v>
      </c>
      <c r="N427" s="23" t="s">
        <v>519</v>
      </c>
    </row>
    <row r="428" ht="15" spans="1:14">
      <c r="A428" s="8">
        <v>426</v>
      </c>
      <c r="E428" s="23" t="s">
        <v>129</v>
      </c>
      <c r="F428" s="15" t="s">
        <v>896</v>
      </c>
      <c r="G428" s="14" t="s">
        <v>1197</v>
      </c>
      <c r="H428" s="15">
        <v>2</v>
      </c>
      <c r="K428" s="16">
        <v>7</v>
      </c>
      <c r="L428" s="27">
        <v>0.01</v>
      </c>
      <c r="M428" s="28">
        <f t="shared" si="6"/>
        <v>14</v>
      </c>
      <c r="N428" s="23" t="s">
        <v>519</v>
      </c>
    </row>
    <row r="429" ht="15" spans="1:14">
      <c r="A429" s="8">
        <v>427</v>
      </c>
      <c r="E429" s="23" t="s">
        <v>129</v>
      </c>
      <c r="F429" s="15" t="s">
        <v>1198</v>
      </c>
      <c r="G429" s="14" t="s">
        <v>1199</v>
      </c>
      <c r="H429" s="15">
        <v>2</v>
      </c>
      <c r="K429" s="16">
        <v>11</v>
      </c>
      <c r="L429" s="27">
        <v>0.01</v>
      </c>
      <c r="M429" s="28">
        <f t="shared" si="6"/>
        <v>22</v>
      </c>
      <c r="N429" s="23" t="s">
        <v>519</v>
      </c>
    </row>
    <row r="430" ht="15" spans="1:14">
      <c r="A430" s="8">
        <v>428</v>
      </c>
      <c r="E430" s="23" t="s">
        <v>129</v>
      </c>
      <c r="F430" s="15" t="s">
        <v>1200</v>
      </c>
      <c r="G430" s="14" t="s">
        <v>1201</v>
      </c>
      <c r="H430" s="15">
        <v>1</v>
      </c>
      <c r="K430" s="16">
        <v>108</v>
      </c>
      <c r="L430" s="27">
        <v>0.01</v>
      </c>
      <c r="M430" s="28">
        <f t="shared" si="6"/>
        <v>108</v>
      </c>
      <c r="N430" s="23" t="s">
        <v>519</v>
      </c>
    </row>
    <row r="431" ht="15" spans="1:14">
      <c r="A431" s="8">
        <v>429</v>
      </c>
      <c r="E431" s="23" t="s">
        <v>129</v>
      </c>
      <c r="F431" s="15" t="s">
        <v>1202</v>
      </c>
      <c r="G431" s="14" t="s">
        <v>1203</v>
      </c>
      <c r="H431" s="15">
        <v>2</v>
      </c>
      <c r="K431" s="16">
        <v>7.5</v>
      </c>
      <c r="L431" s="27">
        <v>0.01</v>
      </c>
      <c r="M431" s="28">
        <f t="shared" si="6"/>
        <v>15</v>
      </c>
      <c r="N431" s="23" t="s">
        <v>519</v>
      </c>
    </row>
    <row r="432" ht="15" spans="1:14">
      <c r="A432" s="8">
        <v>430</v>
      </c>
      <c r="E432" s="23" t="s">
        <v>129</v>
      </c>
      <c r="F432" s="15" t="s">
        <v>1108</v>
      </c>
      <c r="G432" s="14" t="s">
        <v>1109</v>
      </c>
      <c r="H432" s="15">
        <v>6</v>
      </c>
      <c r="K432" s="16">
        <v>14.5</v>
      </c>
      <c r="L432" s="27">
        <v>0.01</v>
      </c>
      <c r="M432" s="28">
        <f t="shared" si="6"/>
        <v>87</v>
      </c>
      <c r="N432" s="23" t="s">
        <v>519</v>
      </c>
    </row>
    <row r="433" ht="15" spans="1:14">
      <c r="A433" s="8">
        <v>431</v>
      </c>
      <c r="E433" s="23" t="s">
        <v>129</v>
      </c>
      <c r="F433" s="15" t="s">
        <v>1204</v>
      </c>
      <c r="G433" s="14"/>
      <c r="H433" s="15">
        <v>15</v>
      </c>
      <c r="K433" s="16">
        <v>5.5</v>
      </c>
      <c r="L433" s="27">
        <v>0.01</v>
      </c>
      <c r="M433" s="28">
        <f t="shared" si="6"/>
        <v>82.5</v>
      </c>
      <c r="N433" s="23" t="s">
        <v>519</v>
      </c>
    </row>
    <row r="434" ht="15" spans="1:14">
      <c r="A434" s="8">
        <v>432</v>
      </c>
      <c r="E434" s="23" t="s">
        <v>129</v>
      </c>
      <c r="F434" s="15" t="s">
        <v>1205</v>
      </c>
      <c r="G434" s="14" t="s">
        <v>1206</v>
      </c>
      <c r="H434" s="15">
        <v>20</v>
      </c>
      <c r="K434" s="16">
        <v>21.5</v>
      </c>
      <c r="L434" s="27">
        <v>0.01</v>
      </c>
      <c r="M434" s="28">
        <f t="shared" si="6"/>
        <v>430</v>
      </c>
      <c r="N434" s="23" t="s">
        <v>519</v>
      </c>
    </row>
    <row r="435" ht="15" spans="1:14">
      <c r="A435" s="8">
        <v>433</v>
      </c>
      <c r="E435" s="23" t="s">
        <v>129</v>
      </c>
      <c r="F435" s="15" t="s">
        <v>1207</v>
      </c>
      <c r="G435" s="14" t="s">
        <v>1208</v>
      </c>
      <c r="H435" s="15">
        <v>1</v>
      </c>
      <c r="K435" s="16">
        <v>16.5</v>
      </c>
      <c r="L435" s="27">
        <v>0.01</v>
      </c>
      <c r="M435" s="28">
        <f t="shared" si="6"/>
        <v>16.5</v>
      </c>
      <c r="N435" s="23" t="s">
        <v>519</v>
      </c>
    </row>
    <row r="436" ht="15" spans="1:14">
      <c r="A436" s="8">
        <v>434</v>
      </c>
      <c r="E436" s="23" t="s">
        <v>129</v>
      </c>
      <c r="F436" s="15" t="s">
        <v>1209</v>
      </c>
      <c r="G436" s="14" t="s">
        <v>1210</v>
      </c>
      <c r="H436" s="15">
        <v>5</v>
      </c>
      <c r="K436" s="16">
        <v>29.5</v>
      </c>
      <c r="L436" s="27">
        <v>0.01</v>
      </c>
      <c r="M436" s="28">
        <f t="shared" si="6"/>
        <v>147.5</v>
      </c>
      <c r="N436" s="23" t="s">
        <v>519</v>
      </c>
    </row>
    <row r="437" ht="15" spans="1:14">
      <c r="A437" s="8">
        <v>435</v>
      </c>
      <c r="E437" s="23" t="s">
        <v>129</v>
      </c>
      <c r="F437" s="15" t="s">
        <v>1211</v>
      </c>
      <c r="G437" s="14" t="s">
        <v>1212</v>
      </c>
      <c r="H437" s="15">
        <v>5</v>
      </c>
      <c r="K437" s="16">
        <v>10</v>
      </c>
      <c r="L437" s="27">
        <v>0.01</v>
      </c>
      <c r="M437" s="28">
        <f t="shared" si="6"/>
        <v>50</v>
      </c>
      <c r="N437" s="23" t="s">
        <v>519</v>
      </c>
    </row>
    <row r="438" ht="15" spans="1:14">
      <c r="A438" s="8">
        <v>436</v>
      </c>
      <c r="E438" s="23" t="s">
        <v>129</v>
      </c>
      <c r="F438" s="15" t="s">
        <v>1213</v>
      </c>
      <c r="G438" s="14" t="s">
        <v>1214</v>
      </c>
      <c r="H438" s="15">
        <v>2</v>
      </c>
      <c r="K438" s="16">
        <v>5.5</v>
      </c>
      <c r="L438" s="27">
        <v>0.01</v>
      </c>
      <c r="M438" s="28">
        <f t="shared" si="6"/>
        <v>11</v>
      </c>
      <c r="N438" s="23" t="s">
        <v>519</v>
      </c>
    </row>
    <row r="439" ht="15" spans="1:14">
      <c r="A439" s="8">
        <v>437</v>
      </c>
      <c r="E439" s="23" t="s">
        <v>129</v>
      </c>
      <c r="F439" s="15" t="s">
        <v>896</v>
      </c>
      <c r="G439" s="14" t="s">
        <v>1215</v>
      </c>
      <c r="H439" s="15">
        <v>2</v>
      </c>
      <c r="K439" s="16">
        <v>4.5</v>
      </c>
      <c r="L439" s="27">
        <v>0.01</v>
      </c>
      <c r="M439" s="28">
        <f t="shared" si="6"/>
        <v>9</v>
      </c>
      <c r="N439" s="23" t="s">
        <v>519</v>
      </c>
    </row>
    <row r="440" ht="15" spans="1:14">
      <c r="A440" s="8">
        <v>438</v>
      </c>
      <c r="E440" s="23" t="s">
        <v>129</v>
      </c>
      <c r="F440" s="15" t="s">
        <v>1216</v>
      </c>
      <c r="G440" s="14" t="s">
        <v>1217</v>
      </c>
      <c r="H440" s="15">
        <v>1</v>
      </c>
      <c r="K440" s="16">
        <v>12</v>
      </c>
      <c r="L440" s="27">
        <v>0.01</v>
      </c>
      <c r="M440" s="28">
        <f t="shared" si="6"/>
        <v>12</v>
      </c>
      <c r="N440" s="23" t="s">
        <v>519</v>
      </c>
    </row>
    <row r="441" ht="15" spans="1:14">
      <c r="A441" s="8">
        <v>439</v>
      </c>
      <c r="E441" s="23" t="s">
        <v>129</v>
      </c>
      <c r="F441" s="15" t="s">
        <v>623</v>
      </c>
      <c r="G441" s="14" t="s">
        <v>1218</v>
      </c>
      <c r="H441" s="15">
        <v>1</v>
      </c>
      <c r="K441" s="16">
        <v>41</v>
      </c>
      <c r="L441" s="27">
        <v>0.01</v>
      </c>
      <c r="M441" s="28">
        <f t="shared" si="6"/>
        <v>41</v>
      </c>
      <c r="N441" s="23" t="s">
        <v>519</v>
      </c>
    </row>
    <row r="442" ht="15" spans="1:14">
      <c r="A442" s="8">
        <v>440</v>
      </c>
      <c r="E442" s="23" t="s">
        <v>129</v>
      </c>
      <c r="F442" s="15" t="s">
        <v>1219</v>
      </c>
      <c r="G442" s="14" t="s">
        <v>1220</v>
      </c>
      <c r="H442" s="15">
        <v>1</v>
      </c>
      <c r="K442" s="16">
        <v>23</v>
      </c>
      <c r="L442" s="27">
        <v>0.01</v>
      </c>
      <c r="M442" s="28">
        <f t="shared" si="6"/>
        <v>23</v>
      </c>
      <c r="N442" s="23" t="s">
        <v>519</v>
      </c>
    </row>
    <row r="443" ht="15" spans="1:14">
      <c r="A443" s="8">
        <v>441</v>
      </c>
      <c r="E443" s="23" t="s">
        <v>129</v>
      </c>
      <c r="F443" s="15" t="s">
        <v>1221</v>
      </c>
      <c r="G443" s="14" t="s">
        <v>1222</v>
      </c>
      <c r="H443" s="15">
        <v>1</v>
      </c>
      <c r="K443" s="16">
        <v>6.5</v>
      </c>
      <c r="L443" s="27">
        <v>0.01</v>
      </c>
      <c r="M443" s="28">
        <f t="shared" si="6"/>
        <v>6.5</v>
      </c>
      <c r="N443" s="23" t="s">
        <v>519</v>
      </c>
    </row>
    <row r="444" ht="15" spans="1:14">
      <c r="A444" s="8">
        <v>442</v>
      </c>
      <c r="E444" s="23" t="s">
        <v>129</v>
      </c>
      <c r="F444" s="15" t="s">
        <v>1221</v>
      </c>
      <c r="G444" s="14" t="s">
        <v>1223</v>
      </c>
      <c r="H444" s="15">
        <v>1</v>
      </c>
      <c r="K444" s="16">
        <v>6.5</v>
      </c>
      <c r="L444" s="27">
        <v>0.01</v>
      </c>
      <c r="M444" s="28">
        <f t="shared" si="6"/>
        <v>6.5</v>
      </c>
      <c r="N444" s="23" t="s">
        <v>519</v>
      </c>
    </row>
    <row r="445" ht="15" spans="1:14">
      <c r="A445" s="8">
        <v>443</v>
      </c>
      <c r="E445" s="23" t="s">
        <v>129</v>
      </c>
      <c r="F445" s="15" t="s">
        <v>1221</v>
      </c>
      <c r="G445" s="14" t="s">
        <v>1224</v>
      </c>
      <c r="H445" s="15">
        <v>1</v>
      </c>
      <c r="K445" s="16">
        <v>6.5</v>
      </c>
      <c r="L445" s="27">
        <v>0.01</v>
      </c>
      <c r="M445" s="28">
        <f t="shared" si="6"/>
        <v>6.5</v>
      </c>
      <c r="N445" s="23" t="s">
        <v>519</v>
      </c>
    </row>
    <row r="446" ht="15" spans="1:14">
      <c r="A446" s="8">
        <v>444</v>
      </c>
      <c r="E446" s="23" t="s">
        <v>129</v>
      </c>
      <c r="F446" s="15" t="s">
        <v>1225</v>
      </c>
      <c r="G446" s="14" t="s">
        <v>1226</v>
      </c>
      <c r="H446" s="15">
        <v>1</v>
      </c>
      <c r="K446" s="16">
        <v>88</v>
      </c>
      <c r="L446" s="27">
        <v>0.01</v>
      </c>
      <c r="M446" s="28">
        <f t="shared" si="6"/>
        <v>88</v>
      </c>
      <c r="N446" s="23" t="s">
        <v>519</v>
      </c>
    </row>
    <row r="447" ht="15" spans="1:14">
      <c r="A447" s="8">
        <v>445</v>
      </c>
      <c r="E447" s="23" t="s">
        <v>129</v>
      </c>
      <c r="F447" s="15" t="s">
        <v>1227</v>
      </c>
      <c r="G447" s="14" t="s">
        <v>1228</v>
      </c>
      <c r="H447" s="15">
        <v>1</v>
      </c>
      <c r="K447" s="16">
        <v>245</v>
      </c>
      <c r="L447" s="27">
        <v>0.01</v>
      </c>
      <c r="M447" s="28">
        <f t="shared" si="6"/>
        <v>245</v>
      </c>
      <c r="N447" s="23" t="s">
        <v>519</v>
      </c>
    </row>
    <row r="448" ht="15" spans="1:14">
      <c r="A448" s="8">
        <v>446</v>
      </c>
      <c r="E448" s="23" t="s">
        <v>129</v>
      </c>
      <c r="F448" s="15" t="s">
        <v>1229</v>
      </c>
      <c r="G448" s="14" t="s">
        <v>1230</v>
      </c>
      <c r="H448" s="15">
        <v>4</v>
      </c>
      <c r="K448" s="16">
        <v>6.5</v>
      </c>
      <c r="L448" s="27">
        <v>0.01</v>
      </c>
      <c r="M448" s="28">
        <f t="shared" si="6"/>
        <v>26</v>
      </c>
      <c r="N448" s="23" t="s">
        <v>519</v>
      </c>
    </row>
    <row r="449" ht="15" spans="1:14">
      <c r="A449" s="8">
        <v>447</v>
      </c>
      <c r="E449" s="23" t="s">
        <v>129</v>
      </c>
      <c r="F449" s="15" t="s">
        <v>1231</v>
      </c>
      <c r="G449" s="14" t="s">
        <v>1230</v>
      </c>
      <c r="H449" s="15">
        <v>4</v>
      </c>
      <c r="K449" s="16">
        <v>6</v>
      </c>
      <c r="L449" s="27">
        <v>0.01</v>
      </c>
      <c r="M449" s="28">
        <f t="shared" si="6"/>
        <v>24</v>
      </c>
      <c r="N449" s="23" t="s">
        <v>519</v>
      </c>
    </row>
    <row r="450" ht="15" spans="1:14">
      <c r="A450" s="8">
        <v>448</v>
      </c>
      <c r="E450" s="23" t="s">
        <v>129</v>
      </c>
      <c r="F450" s="15" t="s">
        <v>1232</v>
      </c>
      <c r="G450" s="14" t="s">
        <v>1230</v>
      </c>
      <c r="H450" s="15">
        <v>2</v>
      </c>
      <c r="K450" s="16">
        <v>4.5</v>
      </c>
      <c r="L450" s="27">
        <v>0.01</v>
      </c>
      <c r="M450" s="28">
        <f t="shared" si="6"/>
        <v>9</v>
      </c>
      <c r="N450" s="23" t="s">
        <v>519</v>
      </c>
    </row>
    <row r="451" ht="15" spans="1:14">
      <c r="A451" s="8">
        <v>449</v>
      </c>
      <c r="E451" s="23" t="s">
        <v>129</v>
      </c>
      <c r="F451" s="15" t="s">
        <v>1233</v>
      </c>
      <c r="G451" s="14" t="s">
        <v>1234</v>
      </c>
      <c r="H451" s="15">
        <v>1</v>
      </c>
      <c r="K451" s="16">
        <v>27</v>
      </c>
      <c r="L451" s="27">
        <v>0.01</v>
      </c>
      <c r="M451" s="28">
        <f t="shared" si="6"/>
        <v>27</v>
      </c>
      <c r="N451" s="23" t="s">
        <v>519</v>
      </c>
    </row>
    <row r="452" ht="30" spans="1:14">
      <c r="A452" s="8">
        <v>450</v>
      </c>
      <c r="E452" s="23" t="s">
        <v>129</v>
      </c>
      <c r="F452" s="15" t="s">
        <v>1235</v>
      </c>
      <c r="G452" s="14" t="s">
        <v>1236</v>
      </c>
      <c r="H452" s="15">
        <v>1</v>
      </c>
      <c r="K452" s="16">
        <v>7</v>
      </c>
      <c r="L452" s="27">
        <v>0.01</v>
      </c>
      <c r="M452" s="28">
        <f t="shared" ref="M452:M515" si="7">H452*K452</f>
        <v>7</v>
      </c>
      <c r="N452" s="23" t="s">
        <v>519</v>
      </c>
    </row>
    <row r="453" ht="30" spans="1:14">
      <c r="A453" s="8">
        <v>451</v>
      </c>
      <c r="E453" s="23" t="s">
        <v>129</v>
      </c>
      <c r="F453" s="15" t="s">
        <v>1221</v>
      </c>
      <c r="G453" s="14" t="s">
        <v>1237</v>
      </c>
      <c r="H453" s="15">
        <v>1</v>
      </c>
      <c r="K453" s="16">
        <v>12</v>
      </c>
      <c r="L453" s="27">
        <v>0.01</v>
      </c>
      <c r="M453" s="28">
        <f t="shared" si="7"/>
        <v>12</v>
      </c>
      <c r="N453" s="23" t="s">
        <v>519</v>
      </c>
    </row>
    <row r="454" ht="15" spans="1:14">
      <c r="A454" s="8">
        <v>452</v>
      </c>
      <c r="E454" s="23" t="s">
        <v>129</v>
      </c>
      <c r="F454" s="15" t="s">
        <v>1238</v>
      </c>
      <c r="G454" s="14" t="s">
        <v>1239</v>
      </c>
      <c r="H454" s="15">
        <v>1</v>
      </c>
      <c r="K454" s="16">
        <v>9</v>
      </c>
      <c r="L454" s="27">
        <v>0.01</v>
      </c>
      <c r="M454" s="28">
        <f t="shared" si="7"/>
        <v>9</v>
      </c>
      <c r="N454" s="23" t="s">
        <v>519</v>
      </c>
    </row>
    <row r="455" ht="15" spans="1:14">
      <c r="A455" s="8">
        <v>453</v>
      </c>
      <c r="E455" s="23" t="s">
        <v>129</v>
      </c>
      <c r="F455" s="15" t="s">
        <v>1238</v>
      </c>
      <c r="G455" s="14" t="s">
        <v>1240</v>
      </c>
      <c r="H455" s="15">
        <v>1</v>
      </c>
      <c r="K455" s="16">
        <v>34</v>
      </c>
      <c r="L455" s="27">
        <v>0.01</v>
      </c>
      <c r="M455" s="28">
        <f t="shared" si="7"/>
        <v>34</v>
      </c>
      <c r="N455" s="23" t="s">
        <v>519</v>
      </c>
    </row>
    <row r="456" ht="15" spans="1:14">
      <c r="A456" s="8">
        <v>454</v>
      </c>
      <c r="E456" s="23" t="s">
        <v>129</v>
      </c>
      <c r="F456" s="15" t="s">
        <v>1241</v>
      </c>
      <c r="G456" s="14" t="s">
        <v>1242</v>
      </c>
      <c r="H456" s="15">
        <v>1</v>
      </c>
      <c r="K456" s="16">
        <v>40</v>
      </c>
      <c r="L456" s="27">
        <v>0.01</v>
      </c>
      <c r="M456" s="28">
        <f t="shared" si="7"/>
        <v>40</v>
      </c>
      <c r="N456" s="23" t="s">
        <v>519</v>
      </c>
    </row>
    <row r="457" ht="15" spans="1:14">
      <c r="A457" s="8">
        <v>455</v>
      </c>
      <c r="E457" s="23" t="s">
        <v>129</v>
      </c>
      <c r="F457" s="15" t="s">
        <v>1243</v>
      </c>
      <c r="G457" s="14"/>
      <c r="H457" s="15">
        <v>5</v>
      </c>
      <c r="K457" s="16">
        <v>17</v>
      </c>
      <c r="L457" s="27">
        <v>0.01</v>
      </c>
      <c r="M457" s="28">
        <f t="shared" si="7"/>
        <v>85</v>
      </c>
      <c r="N457" s="23" t="s">
        <v>519</v>
      </c>
    </row>
    <row r="458" ht="15" spans="1:14">
      <c r="A458" s="8">
        <v>456</v>
      </c>
      <c r="E458" s="23" t="s">
        <v>129</v>
      </c>
      <c r="F458" s="15" t="s">
        <v>1244</v>
      </c>
      <c r="G458" s="14" t="s">
        <v>1245</v>
      </c>
      <c r="H458" s="15">
        <v>1</v>
      </c>
      <c r="K458" s="16">
        <v>21</v>
      </c>
      <c r="L458" s="27">
        <v>0.01</v>
      </c>
      <c r="M458" s="28">
        <f t="shared" si="7"/>
        <v>21</v>
      </c>
      <c r="N458" s="23" t="s">
        <v>519</v>
      </c>
    </row>
    <row r="459" ht="15" spans="1:14">
      <c r="A459" s="8">
        <v>457</v>
      </c>
      <c r="E459" s="23" t="s">
        <v>129</v>
      </c>
      <c r="F459" s="15" t="s">
        <v>1246</v>
      </c>
      <c r="G459" s="14" t="s">
        <v>1247</v>
      </c>
      <c r="H459" s="15">
        <v>1</v>
      </c>
      <c r="K459" s="16">
        <v>12</v>
      </c>
      <c r="L459" s="27">
        <v>0.01</v>
      </c>
      <c r="M459" s="28">
        <f t="shared" si="7"/>
        <v>12</v>
      </c>
      <c r="N459" s="23" t="s">
        <v>519</v>
      </c>
    </row>
    <row r="460" ht="15" spans="1:14">
      <c r="A460" s="8">
        <v>458</v>
      </c>
      <c r="E460" s="23" t="s">
        <v>129</v>
      </c>
      <c r="F460" s="15" t="s">
        <v>1248</v>
      </c>
      <c r="G460" s="14" t="s">
        <v>1249</v>
      </c>
      <c r="H460" s="15">
        <v>1</v>
      </c>
      <c r="K460" s="16">
        <v>3</v>
      </c>
      <c r="L460" s="27">
        <v>0.01</v>
      </c>
      <c r="M460" s="28">
        <f t="shared" si="7"/>
        <v>3</v>
      </c>
      <c r="N460" s="23" t="s">
        <v>519</v>
      </c>
    </row>
    <row r="461" ht="15" spans="1:14">
      <c r="A461" s="8">
        <v>459</v>
      </c>
      <c r="E461" s="23" t="s">
        <v>129</v>
      </c>
      <c r="F461" s="15" t="s">
        <v>1250</v>
      </c>
      <c r="G461" s="14" t="s">
        <v>1251</v>
      </c>
      <c r="H461" s="15">
        <v>1</v>
      </c>
      <c r="K461" s="16">
        <v>195</v>
      </c>
      <c r="L461" s="27">
        <v>0.01</v>
      </c>
      <c r="M461" s="28">
        <f t="shared" si="7"/>
        <v>195</v>
      </c>
      <c r="N461" s="23" t="s">
        <v>519</v>
      </c>
    </row>
    <row r="462" ht="15" spans="1:14">
      <c r="A462" s="8">
        <v>460</v>
      </c>
      <c r="E462" s="23" t="s">
        <v>129</v>
      </c>
      <c r="F462" s="15" t="s">
        <v>758</v>
      </c>
      <c r="G462" s="14" t="s">
        <v>1252</v>
      </c>
      <c r="H462" s="15">
        <v>2</v>
      </c>
      <c r="K462" s="16">
        <v>74</v>
      </c>
      <c r="L462" s="27">
        <v>0.01</v>
      </c>
      <c r="M462" s="28">
        <f t="shared" si="7"/>
        <v>148</v>
      </c>
      <c r="N462" s="23" t="s">
        <v>519</v>
      </c>
    </row>
    <row r="463" ht="15" spans="1:14">
      <c r="A463" s="8">
        <v>461</v>
      </c>
      <c r="E463" s="23" t="s">
        <v>129</v>
      </c>
      <c r="F463" s="15" t="s">
        <v>1253</v>
      </c>
      <c r="G463" s="14" t="s">
        <v>1228</v>
      </c>
      <c r="H463" s="15">
        <v>1</v>
      </c>
      <c r="K463" s="16">
        <v>110</v>
      </c>
      <c r="L463" s="27">
        <v>0.01</v>
      </c>
      <c r="M463" s="28">
        <f t="shared" si="7"/>
        <v>110</v>
      </c>
      <c r="N463" s="23" t="s">
        <v>519</v>
      </c>
    </row>
    <row r="464" ht="30" spans="1:14">
      <c r="A464" s="8">
        <v>462</v>
      </c>
      <c r="E464" s="23" t="s">
        <v>129</v>
      </c>
      <c r="F464" s="15" t="s">
        <v>1254</v>
      </c>
      <c r="G464" s="14" t="s">
        <v>1255</v>
      </c>
      <c r="H464" s="15">
        <v>1</v>
      </c>
      <c r="K464" s="16">
        <v>11</v>
      </c>
      <c r="L464" s="27">
        <v>0.01</v>
      </c>
      <c r="M464" s="28">
        <f t="shared" si="7"/>
        <v>11</v>
      </c>
      <c r="N464" s="23" t="s">
        <v>519</v>
      </c>
    </row>
    <row r="465" ht="15" spans="1:14">
      <c r="A465" s="8">
        <v>463</v>
      </c>
      <c r="E465" s="23" t="s">
        <v>129</v>
      </c>
      <c r="F465" s="15" t="s">
        <v>1256</v>
      </c>
      <c r="G465" s="14" t="s">
        <v>757</v>
      </c>
      <c r="H465" s="15">
        <v>1</v>
      </c>
      <c r="K465" s="16">
        <v>138</v>
      </c>
      <c r="L465" s="27">
        <v>0.01</v>
      </c>
      <c r="M465" s="28">
        <f t="shared" si="7"/>
        <v>138</v>
      </c>
      <c r="N465" s="23" t="s">
        <v>519</v>
      </c>
    </row>
    <row r="466" ht="30" spans="1:14">
      <c r="A466" s="8">
        <v>464</v>
      </c>
      <c r="E466" s="23" t="s">
        <v>129</v>
      </c>
      <c r="F466" s="15" t="s">
        <v>1257</v>
      </c>
      <c r="G466" s="14" t="s">
        <v>1258</v>
      </c>
      <c r="H466" s="15">
        <v>1</v>
      </c>
      <c r="K466" s="16">
        <v>46</v>
      </c>
      <c r="L466" s="27">
        <v>0.01</v>
      </c>
      <c r="M466" s="28">
        <f t="shared" si="7"/>
        <v>46</v>
      </c>
      <c r="N466" s="23" t="s">
        <v>519</v>
      </c>
    </row>
    <row r="467" ht="15" spans="1:14">
      <c r="A467" s="8">
        <v>465</v>
      </c>
      <c r="E467" s="23" t="s">
        <v>129</v>
      </c>
      <c r="F467" s="15" t="s">
        <v>680</v>
      </c>
      <c r="G467" s="14" t="s">
        <v>1259</v>
      </c>
      <c r="H467" s="15">
        <v>50</v>
      </c>
      <c r="K467" s="16">
        <v>1.4</v>
      </c>
      <c r="L467" s="27">
        <v>0.01</v>
      </c>
      <c r="M467" s="28">
        <f t="shared" si="7"/>
        <v>70</v>
      </c>
      <c r="N467" s="23" t="s">
        <v>519</v>
      </c>
    </row>
    <row r="468" ht="15" spans="1:14">
      <c r="A468" s="8">
        <v>466</v>
      </c>
      <c r="E468" s="23" t="s">
        <v>129</v>
      </c>
      <c r="F468" s="15" t="s">
        <v>1260</v>
      </c>
      <c r="G468" s="14" t="s">
        <v>1261</v>
      </c>
      <c r="H468" s="15">
        <v>2</v>
      </c>
      <c r="K468" s="16">
        <v>48.5</v>
      </c>
      <c r="L468" s="27">
        <v>0.01</v>
      </c>
      <c r="M468" s="28">
        <f t="shared" si="7"/>
        <v>97</v>
      </c>
      <c r="N468" s="23" t="s">
        <v>519</v>
      </c>
    </row>
    <row r="469" ht="30" spans="1:14">
      <c r="A469" s="8">
        <v>467</v>
      </c>
      <c r="E469" s="23" t="s">
        <v>129</v>
      </c>
      <c r="F469" s="15" t="s">
        <v>1262</v>
      </c>
      <c r="G469" s="14" t="s">
        <v>1263</v>
      </c>
      <c r="H469" s="15">
        <v>1</v>
      </c>
      <c r="K469" s="16">
        <v>125</v>
      </c>
      <c r="L469" s="27">
        <v>0.01</v>
      </c>
      <c r="M469" s="28">
        <f t="shared" si="7"/>
        <v>125</v>
      </c>
      <c r="N469" s="23" t="s">
        <v>519</v>
      </c>
    </row>
    <row r="470" ht="15" spans="1:14">
      <c r="A470" s="8">
        <v>468</v>
      </c>
      <c r="E470" s="23" t="s">
        <v>129</v>
      </c>
      <c r="F470" s="15" t="s">
        <v>1264</v>
      </c>
      <c r="G470" s="14" t="s">
        <v>1265</v>
      </c>
      <c r="H470" s="15">
        <v>4</v>
      </c>
      <c r="K470" s="16">
        <v>9.5</v>
      </c>
      <c r="L470" s="27">
        <v>0.01</v>
      </c>
      <c r="M470" s="28">
        <f t="shared" si="7"/>
        <v>38</v>
      </c>
      <c r="N470" s="23" t="s">
        <v>519</v>
      </c>
    </row>
    <row r="471" ht="15" spans="1:14">
      <c r="A471" s="8">
        <v>469</v>
      </c>
      <c r="E471" s="23" t="s">
        <v>129</v>
      </c>
      <c r="F471" s="15" t="s">
        <v>1266</v>
      </c>
      <c r="G471" s="14" t="s">
        <v>1267</v>
      </c>
      <c r="H471" s="15">
        <v>1</v>
      </c>
      <c r="K471" s="16">
        <v>2450</v>
      </c>
      <c r="L471" s="27">
        <v>0.01</v>
      </c>
      <c r="M471" s="28">
        <f t="shared" si="7"/>
        <v>2450</v>
      </c>
      <c r="N471" s="23" t="s">
        <v>519</v>
      </c>
    </row>
    <row r="472" ht="15" spans="1:14">
      <c r="A472" s="8">
        <v>470</v>
      </c>
      <c r="E472" s="23" t="s">
        <v>129</v>
      </c>
      <c r="F472" s="15" t="s">
        <v>1268</v>
      </c>
      <c r="G472" s="14" t="s">
        <v>1269</v>
      </c>
      <c r="H472" s="15">
        <v>1</v>
      </c>
      <c r="K472" s="16">
        <v>3500</v>
      </c>
      <c r="L472" s="27">
        <v>0.01</v>
      </c>
      <c r="M472" s="28">
        <f t="shared" si="7"/>
        <v>3500</v>
      </c>
      <c r="N472" s="23" t="s">
        <v>519</v>
      </c>
    </row>
    <row r="473" ht="30" spans="1:14">
      <c r="A473" s="8">
        <v>471</v>
      </c>
      <c r="E473" s="23" t="s">
        <v>129</v>
      </c>
      <c r="F473" s="15" t="s">
        <v>1270</v>
      </c>
      <c r="G473" s="14" t="s">
        <v>1271</v>
      </c>
      <c r="H473" s="15">
        <v>1</v>
      </c>
      <c r="K473" s="16">
        <v>385</v>
      </c>
      <c r="L473" s="27">
        <v>0.01</v>
      </c>
      <c r="M473" s="28">
        <f t="shared" si="7"/>
        <v>385</v>
      </c>
      <c r="N473" s="23" t="s">
        <v>519</v>
      </c>
    </row>
    <row r="474" ht="26" spans="1:14">
      <c r="A474" s="8">
        <v>471</v>
      </c>
      <c r="E474" s="23" t="s">
        <v>129</v>
      </c>
      <c r="F474" s="29" t="s">
        <v>521</v>
      </c>
      <c r="G474" s="30" t="s">
        <v>1272</v>
      </c>
      <c r="H474" s="29">
        <v>1</v>
      </c>
      <c r="K474" s="31">
        <v>12720</v>
      </c>
      <c r="L474" s="27">
        <v>0.01</v>
      </c>
      <c r="M474" s="28">
        <f t="shared" si="7"/>
        <v>12720</v>
      </c>
      <c r="N474" s="23" t="s">
        <v>519</v>
      </c>
    </row>
    <row r="475" spans="1:14">
      <c r="A475" s="8">
        <v>471</v>
      </c>
      <c r="E475" s="23" t="s">
        <v>129</v>
      </c>
      <c r="F475" s="29" t="s">
        <v>1273</v>
      </c>
      <c r="G475" s="30" t="s">
        <v>1251</v>
      </c>
      <c r="H475" s="29">
        <v>1</v>
      </c>
      <c r="K475" s="31">
        <v>195</v>
      </c>
      <c r="L475" s="27">
        <v>0.01</v>
      </c>
      <c r="M475" s="28">
        <f t="shared" si="7"/>
        <v>195</v>
      </c>
      <c r="N475" s="23" t="s">
        <v>519</v>
      </c>
    </row>
    <row r="476" spans="1:14">
      <c r="A476" s="8">
        <v>471</v>
      </c>
      <c r="E476" s="23" t="s">
        <v>129</v>
      </c>
      <c r="F476" s="29" t="s">
        <v>1274</v>
      </c>
      <c r="G476" s="30" t="s">
        <v>1275</v>
      </c>
      <c r="H476" s="29">
        <v>1</v>
      </c>
      <c r="K476" s="31">
        <v>13</v>
      </c>
      <c r="L476" s="27">
        <v>0.01</v>
      </c>
      <c r="M476" s="28">
        <f t="shared" si="7"/>
        <v>13</v>
      </c>
      <c r="N476" s="23" t="s">
        <v>519</v>
      </c>
    </row>
    <row r="477" spans="1:14">
      <c r="A477" s="8">
        <v>471</v>
      </c>
      <c r="E477" s="23" t="s">
        <v>129</v>
      </c>
      <c r="F477" s="29" t="s">
        <v>847</v>
      </c>
      <c r="G477" s="30" t="s">
        <v>1276</v>
      </c>
      <c r="H477" s="29">
        <v>1</v>
      </c>
      <c r="K477" s="31">
        <v>10</v>
      </c>
      <c r="L477" s="27">
        <v>0.01</v>
      </c>
      <c r="M477" s="28">
        <f t="shared" si="7"/>
        <v>10</v>
      </c>
      <c r="N477" s="23" t="s">
        <v>519</v>
      </c>
    </row>
    <row r="478" spans="1:14">
      <c r="A478" s="8">
        <v>471</v>
      </c>
      <c r="E478" s="23" t="s">
        <v>129</v>
      </c>
      <c r="F478" s="29" t="s">
        <v>1277</v>
      </c>
      <c r="G478" s="30" t="s">
        <v>1278</v>
      </c>
      <c r="H478" s="29">
        <v>2</v>
      </c>
      <c r="K478" s="31">
        <v>15</v>
      </c>
      <c r="L478" s="27">
        <v>0.01</v>
      </c>
      <c r="M478" s="28">
        <f t="shared" si="7"/>
        <v>30</v>
      </c>
      <c r="N478" s="23" t="s">
        <v>519</v>
      </c>
    </row>
    <row r="479" spans="1:14">
      <c r="A479" s="8">
        <v>471</v>
      </c>
      <c r="E479" s="23" t="s">
        <v>129</v>
      </c>
      <c r="F479" s="29" t="s">
        <v>1279</v>
      </c>
      <c r="G479" s="30" t="s">
        <v>1280</v>
      </c>
      <c r="H479" s="29">
        <v>1</v>
      </c>
      <c r="K479" s="31">
        <v>45</v>
      </c>
      <c r="L479" s="27">
        <v>0.01</v>
      </c>
      <c r="M479" s="28">
        <f t="shared" si="7"/>
        <v>45</v>
      </c>
      <c r="N479" s="23" t="s">
        <v>519</v>
      </c>
    </row>
    <row r="480" ht="26" spans="1:14">
      <c r="A480" s="8">
        <v>471</v>
      </c>
      <c r="E480" s="23" t="s">
        <v>129</v>
      </c>
      <c r="F480" s="29" t="s">
        <v>1281</v>
      </c>
      <c r="G480" s="30" t="s">
        <v>1282</v>
      </c>
      <c r="H480" s="29">
        <v>2</v>
      </c>
      <c r="K480" s="31">
        <v>16</v>
      </c>
      <c r="L480" s="27">
        <v>0.01</v>
      </c>
      <c r="M480" s="28">
        <f t="shared" si="7"/>
        <v>32</v>
      </c>
      <c r="N480" s="23" t="s">
        <v>519</v>
      </c>
    </row>
    <row r="481" spans="1:14">
      <c r="A481" s="8">
        <v>471</v>
      </c>
      <c r="E481" s="23" t="s">
        <v>129</v>
      </c>
      <c r="F481" s="29" t="s">
        <v>1283</v>
      </c>
      <c r="G481" s="30" t="s">
        <v>892</v>
      </c>
      <c r="H481" s="29">
        <v>10</v>
      </c>
      <c r="K481" s="31">
        <v>16.8</v>
      </c>
      <c r="L481" s="27">
        <v>0.01</v>
      </c>
      <c r="M481" s="28">
        <f t="shared" si="7"/>
        <v>168</v>
      </c>
      <c r="N481" s="23" t="s">
        <v>519</v>
      </c>
    </row>
    <row r="482" spans="1:14">
      <c r="A482" s="8">
        <v>471</v>
      </c>
      <c r="E482" s="23" t="s">
        <v>129</v>
      </c>
      <c r="F482" s="29" t="s">
        <v>1284</v>
      </c>
      <c r="G482" s="30" t="s">
        <v>1285</v>
      </c>
      <c r="H482" s="29">
        <v>2</v>
      </c>
      <c r="K482" s="31">
        <v>17</v>
      </c>
      <c r="L482" s="27">
        <v>0.01</v>
      </c>
      <c r="M482" s="28">
        <f t="shared" si="7"/>
        <v>34</v>
      </c>
      <c r="N482" s="23" t="s">
        <v>519</v>
      </c>
    </row>
    <row r="483" spans="1:14">
      <c r="A483" s="8">
        <v>471</v>
      </c>
      <c r="E483" s="23" t="s">
        <v>129</v>
      </c>
      <c r="F483" s="29" t="s">
        <v>1286</v>
      </c>
      <c r="G483" s="30" t="s">
        <v>1287</v>
      </c>
      <c r="H483" s="29">
        <v>1</v>
      </c>
      <c r="K483" s="31">
        <v>450</v>
      </c>
      <c r="L483" s="27">
        <v>0.01</v>
      </c>
      <c r="M483" s="28">
        <f t="shared" si="7"/>
        <v>450</v>
      </c>
      <c r="N483" s="23" t="s">
        <v>519</v>
      </c>
    </row>
    <row r="484" spans="1:14">
      <c r="A484" s="8">
        <v>471</v>
      </c>
      <c r="E484" s="23" t="s">
        <v>129</v>
      </c>
      <c r="F484" s="29" t="s">
        <v>623</v>
      </c>
      <c r="G484" s="30" t="s">
        <v>1288</v>
      </c>
      <c r="H484" s="29">
        <v>2</v>
      </c>
      <c r="K484" s="31">
        <v>48</v>
      </c>
      <c r="L484" s="27">
        <v>0.01</v>
      </c>
      <c r="M484" s="28">
        <f t="shared" si="7"/>
        <v>96</v>
      </c>
      <c r="N484" s="23" t="s">
        <v>519</v>
      </c>
    </row>
    <row r="485" spans="1:14">
      <c r="A485" s="8">
        <v>471</v>
      </c>
      <c r="E485" s="23" t="s">
        <v>129</v>
      </c>
      <c r="F485" s="29"/>
      <c r="G485" s="30" t="s">
        <v>1289</v>
      </c>
      <c r="H485" s="29">
        <v>2</v>
      </c>
      <c r="K485" s="31">
        <v>25</v>
      </c>
      <c r="L485" s="27">
        <v>0.01</v>
      </c>
      <c r="M485" s="28">
        <f t="shared" si="7"/>
        <v>50</v>
      </c>
      <c r="N485" s="23" t="s">
        <v>519</v>
      </c>
    </row>
    <row r="486" spans="1:14">
      <c r="A486" s="8">
        <v>471</v>
      </c>
      <c r="E486" s="23" t="s">
        <v>129</v>
      </c>
      <c r="F486" s="29"/>
      <c r="G486" s="30" t="s">
        <v>1290</v>
      </c>
      <c r="H486" s="29">
        <v>2</v>
      </c>
      <c r="K486" s="31">
        <v>16</v>
      </c>
      <c r="L486" s="27">
        <v>0.01</v>
      </c>
      <c r="M486" s="28">
        <f t="shared" si="7"/>
        <v>32</v>
      </c>
      <c r="N486" s="23" t="s">
        <v>519</v>
      </c>
    </row>
    <row r="487" spans="1:14">
      <c r="A487" s="8">
        <v>471</v>
      </c>
      <c r="E487" s="23" t="s">
        <v>129</v>
      </c>
      <c r="F487" s="29" t="s">
        <v>1291</v>
      </c>
      <c r="G487" s="30" t="s">
        <v>1292</v>
      </c>
      <c r="H487" s="29">
        <v>1</v>
      </c>
      <c r="K487" s="31">
        <v>65</v>
      </c>
      <c r="L487" s="27">
        <v>0.01</v>
      </c>
      <c r="M487" s="28">
        <f t="shared" si="7"/>
        <v>65</v>
      </c>
      <c r="N487" s="23" t="s">
        <v>519</v>
      </c>
    </row>
    <row r="488" ht="26" spans="1:14">
      <c r="A488" s="8">
        <v>471</v>
      </c>
      <c r="E488" s="23" t="s">
        <v>129</v>
      </c>
      <c r="F488" s="29" t="s">
        <v>1293</v>
      </c>
      <c r="G488" s="30" t="s">
        <v>1294</v>
      </c>
      <c r="H488" s="29">
        <v>2</v>
      </c>
      <c r="K488" s="31">
        <v>37</v>
      </c>
      <c r="L488" s="27">
        <v>0.01</v>
      </c>
      <c r="M488" s="28">
        <f t="shared" si="7"/>
        <v>74</v>
      </c>
      <c r="N488" s="23" t="s">
        <v>519</v>
      </c>
    </row>
    <row r="489" ht="13.5" customHeight="1" spans="1:14">
      <c r="A489" s="8">
        <v>471</v>
      </c>
      <c r="E489" s="23" t="s">
        <v>129</v>
      </c>
      <c r="F489" s="29" t="s">
        <v>1295</v>
      </c>
      <c r="G489" s="30" t="s">
        <v>1296</v>
      </c>
      <c r="H489" s="29">
        <v>1</v>
      </c>
      <c r="K489" s="31">
        <v>96</v>
      </c>
      <c r="L489" s="27">
        <v>0.01</v>
      </c>
      <c r="M489" s="28">
        <f t="shared" si="7"/>
        <v>96</v>
      </c>
      <c r="N489" s="23" t="s">
        <v>519</v>
      </c>
    </row>
    <row r="490" spans="1:14">
      <c r="A490" s="8">
        <v>471</v>
      </c>
      <c r="E490" s="23" t="s">
        <v>129</v>
      </c>
      <c r="F490" s="29" t="s">
        <v>1297</v>
      </c>
      <c r="G490" s="30" t="s">
        <v>1298</v>
      </c>
      <c r="H490" s="29">
        <v>2</v>
      </c>
      <c r="K490" s="31">
        <v>29</v>
      </c>
      <c r="L490" s="27">
        <v>0.01</v>
      </c>
      <c r="M490" s="28">
        <f t="shared" si="7"/>
        <v>58</v>
      </c>
      <c r="N490" s="23" t="s">
        <v>519</v>
      </c>
    </row>
    <row r="491" spans="1:14">
      <c r="A491" s="8">
        <v>471</v>
      </c>
      <c r="E491" s="23" t="s">
        <v>129</v>
      </c>
      <c r="F491" s="29" t="s">
        <v>1299</v>
      </c>
      <c r="G491" s="30" t="s">
        <v>1300</v>
      </c>
      <c r="H491" s="29">
        <v>1</v>
      </c>
      <c r="K491" s="31">
        <v>220</v>
      </c>
      <c r="L491" s="27">
        <v>0.01</v>
      </c>
      <c r="M491" s="28">
        <f t="shared" si="7"/>
        <v>220</v>
      </c>
      <c r="N491" s="23" t="s">
        <v>519</v>
      </c>
    </row>
    <row r="492" spans="1:14">
      <c r="A492" s="8">
        <v>471</v>
      </c>
      <c r="E492" s="23" t="s">
        <v>129</v>
      </c>
      <c r="F492" s="29" t="s">
        <v>1301</v>
      </c>
      <c r="G492" s="30"/>
      <c r="H492" s="29">
        <v>1</v>
      </c>
      <c r="K492" s="31">
        <v>55</v>
      </c>
      <c r="L492" s="27">
        <v>0.01</v>
      </c>
      <c r="M492" s="28">
        <f t="shared" si="7"/>
        <v>55</v>
      </c>
      <c r="N492" s="23" t="s">
        <v>519</v>
      </c>
    </row>
    <row r="493" spans="1:14">
      <c r="A493" s="8">
        <v>471</v>
      </c>
      <c r="E493" s="23" t="s">
        <v>129</v>
      </c>
      <c r="F493" s="29" t="s">
        <v>1302</v>
      </c>
      <c r="G493" s="30" t="s">
        <v>1303</v>
      </c>
      <c r="H493" s="29">
        <v>1</v>
      </c>
      <c r="K493" s="31">
        <v>220</v>
      </c>
      <c r="L493" s="27">
        <v>0.01</v>
      </c>
      <c r="M493" s="28">
        <f t="shared" si="7"/>
        <v>220</v>
      </c>
      <c r="N493" s="23" t="s">
        <v>519</v>
      </c>
    </row>
    <row r="494" spans="1:14">
      <c r="A494" s="8">
        <v>471</v>
      </c>
      <c r="E494" s="23" t="s">
        <v>129</v>
      </c>
      <c r="F494" s="29" t="s">
        <v>1304</v>
      </c>
      <c r="G494" s="30" t="s">
        <v>1305</v>
      </c>
      <c r="H494" s="29">
        <v>1</v>
      </c>
      <c r="K494" s="31">
        <v>72</v>
      </c>
      <c r="L494" s="27">
        <v>0.01</v>
      </c>
      <c r="M494" s="28">
        <f t="shared" si="7"/>
        <v>72</v>
      </c>
      <c r="N494" s="23" t="s">
        <v>519</v>
      </c>
    </row>
    <row r="495" spans="1:14">
      <c r="A495" s="8">
        <v>471</v>
      </c>
      <c r="E495" s="23" t="s">
        <v>129</v>
      </c>
      <c r="F495" s="29" t="s">
        <v>1306</v>
      </c>
      <c r="G495" s="30" t="s">
        <v>1307</v>
      </c>
      <c r="H495" s="29">
        <v>30</v>
      </c>
      <c r="K495" s="31">
        <v>13.2</v>
      </c>
      <c r="L495" s="27">
        <v>0.01</v>
      </c>
      <c r="M495" s="28">
        <f t="shared" si="7"/>
        <v>396</v>
      </c>
      <c r="N495" s="23" t="s">
        <v>519</v>
      </c>
    </row>
    <row r="496" spans="1:14">
      <c r="A496" s="8">
        <v>471</v>
      </c>
      <c r="E496" s="23" t="s">
        <v>129</v>
      </c>
      <c r="F496" s="29" t="s">
        <v>1308</v>
      </c>
      <c r="G496" s="30" t="s">
        <v>1167</v>
      </c>
      <c r="H496" s="29">
        <v>5</v>
      </c>
      <c r="K496" s="31">
        <v>4.5</v>
      </c>
      <c r="L496" s="27">
        <v>0.01</v>
      </c>
      <c r="M496" s="28">
        <f t="shared" si="7"/>
        <v>22.5</v>
      </c>
      <c r="N496" s="23" t="s">
        <v>519</v>
      </c>
    </row>
    <row r="497" spans="1:14">
      <c r="A497" s="8">
        <v>471</v>
      </c>
      <c r="E497" s="23" t="s">
        <v>129</v>
      </c>
      <c r="F497" s="29"/>
      <c r="G497" s="30" t="s">
        <v>1163</v>
      </c>
      <c r="H497" s="29">
        <v>5</v>
      </c>
      <c r="K497" s="31">
        <v>5.2</v>
      </c>
      <c r="L497" s="27">
        <v>0.01</v>
      </c>
      <c r="M497" s="28">
        <f t="shared" si="7"/>
        <v>26</v>
      </c>
      <c r="N497" s="23" t="s">
        <v>519</v>
      </c>
    </row>
    <row r="498" spans="1:14">
      <c r="A498" s="8">
        <v>471</v>
      </c>
      <c r="E498" s="23" t="s">
        <v>129</v>
      </c>
      <c r="F498" s="29"/>
      <c r="G498" s="30" t="s">
        <v>1309</v>
      </c>
      <c r="H498" s="29">
        <v>5</v>
      </c>
      <c r="K498" s="31">
        <v>7.5</v>
      </c>
      <c r="L498" s="27">
        <v>0.01</v>
      </c>
      <c r="M498" s="28">
        <f t="shared" si="7"/>
        <v>37.5</v>
      </c>
      <c r="N498" s="23" t="s">
        <v>519</v>
      </c>
    </row>
    <row r="499" spans="1:14">
      <c r="A499" s="8">
        <v>471</v>
      </c>
      <c r="E499" s="23" t="s">
        <v>129</v>
      </c>
      <c r="F499" s="29" t="s">
        <v>1310</v>
      </c>
      <c r="G499" s="30" t="s">
        <v>1311</v>
      </c>
      <c r="H499" s="29">
        <v>50</v>
      </c>
      <c r="K499" s="31">
        <v>0.8</v>
      </c>
      <c r="L499" s="27">
        <v>0.01</v>
      </c>
      <c r="M499" s="28">
        <f t="shared" si="7"/>
        <v>40</v>
      </c>
      <c r="N499" s="23" t="s">
        <v>519</v>
      </c>
    </row>
    <row r="500" spans="1:14">
      <c r="A500" s="8">
        <v>471</v>
      </c>
      <c r="E500" s="23" t="s">
        <v>129</v>
      </c>
      <c r="F500" s="29" t="s">
        <v>1312</v>
      </c>
      <c r="G500" s="30" t="s">
        <v>1313</v>
      </c>
      <c r="H500" s="29">
        <v>5</v>
      </c>
      <c r="K500" s="31">
        <v>33</v>
      </c>
      <c r="L500" s="27">
        <v>0.01</v>
      </c>
      <c r="M500" s="28">
        <f t="shared" si="7"/>
        <v>165</v>
      </c>
      <c r="N500" s="23" t="s">
        <v>519</v>
      </c>
    </row>
    <row r="501" spans="1:14">
      <c r="A501" s="8">
        <v>471</v>
      </c>
      <c r="E501" s="23" t="s">
        <v>129</v>
      </c>
      <c r="F501" s="29" t="s">
        <v>1314</v>
      </c>
      <c r="G501" s="30" t="s">
        <v>1315</v>
      </c>
      <c r="H501" s="29">
        <v>2</v>
      </c>
      <c r="K501" s="31">
        <v>48</v>
      </c>
      <c r="L501" s="27">
        <v>0.01</v>
      </c>
      <c r="M501" s="28">
        <f t="shared" si="7"/>
        <v>96</v>
      </c>
      <c r="N501" s="23" t="s">
        <v>519</v>
      </c>
    </row>
    <row r="502" spans="1:14">
      <c r="A502" s="8">
        <v>471</v>
      </c>
      <c r="E502" s="23" t="s">
        <v>129</v>
      </c>
      <c r="F502" s="29" t="s">
        <v>1316</v>
      </c>
      <c r="G502" s="30" t="s">
        <v>1317</v>
      </c>
      <c r="H502" s="29">
        <v>5</v>
      </c>
      <c r="K502" s="31">
        <v>1</v>
      </c>
      <c r="L502" s="27">
        <v>0.01</v>
      </c>
      <c r="M502" s="28">
        <f t="shared" si="7"/>
        <v>5</v>
      </c>
      <c r="N502" s="23" t="s">
        <v>519</v>
      </c>
    </row>
    <row r="503" spans="1:14">
      <c r="A503" s="8">
        <v>471</v>
      </c>
      <c r="E503" s="23" t="s">
        <v>129</v>
      </c>
      <c r="F503" s="29" t="s">
        <v>1318</v>
      </c>
      <c r="G503" s="30" t="s">
        <v>1319</v>
      </c>
      <c r="H503" s="29">
        <v>5</v>
      </c>
      <c r="K503" s="31">
        <v>1</v>
      </c>
      <c r="L503" s="27">
        <v>0.01</v>
      </c>
      <c r="M503" s="28">
        <f t="shared" si="7"/>
        <v>5</v>
      </c>
      <c r="N503" s="23" t="s">
        <v>519</v>
      </c>
    </row>
    <row r="504" ht="26" spans="1:14">
      <c r="A504" s="8">
        <v>471</v>
      </c>
      <c r="E504" s="23" t="s">
        <v>129</v>
      </c>
      <c r="F504" s="29" t="s">
        <v>1135</v>
      </c>
      <c r="G504" s="30" t="s">
        <v>1320</v>
      </c>
      <c r="H504" s="29">
        <v>35</v>
      </c>
      <c r="K504" s="31">
        <v>0.6</v>
      </c>
      <c r="L504" s="27">
        <v>0.01</v>
      </c>
      <c r="M504" s="28">
        <f t="shared" si="7"/>
        <v>21</v>
      </c>
      <c r="N504" s="23" t="s">
        <v>519</v>
      </c>
    </row>
    <row r="505" spans="1:14">
      <c r="A505" s="8">
        <v>471</v>
      </c>
      <c r="E505" s="23" t="s">
        <v>129</v>
      </c>
      <c r="F505" s="29" t="s">
        <v>1321</v>
      </c>
      <c r="G505" s="30" t="s">
        <v>1322</v>
      </c>
      <c r="H505" s="29">
        <v>1</v>
      </c>
      <c r="K505" s="31">
        <v>55</v>
      </c>
      <c r="L505" s="27">
        <v>0.01</v>
      </c>
      <c r="M505" s="28">
        <f t="shared" si="7"/>
        <v>55</v>
      </c>
      <c r="N505" s="23" t="s">
        <v>519</v>
      </c>
    </row>
    <row r="506" spans="1:14">
      <c r="A506" s="8">
        <v>471</v>
      </c>
      <c r="E506" s="23" t="s">
        <v>129</v>
      </c>
      <c r="F506" s="29" t="s">
        <v>1323</v>
      </c>
      <c r="G506" s="30" t="s">
        <v>1324</v>
      </c>
      <c r="H506" s="29">
        <v>1</v>
      </c>
      <c r="K506" s="31">
        <v>459</v>
      </c>
      <c r="L506" s="27">
        <v>0.01</v>
      </c>
      <c r="M506" s="28">
        <f t="shared" si="7"/>
        <v>459</v>
      </c>
      <c r="N506" s="23" t="s">
        <v>519</v>
      </c>
    </row>
    <row r="507" spans="1:14">
      <c r="A507" s="8">
        <v>471</v>
      </c>
      <c r="E507" s="23" t="s">
        <v>129</v>
      </c>
      <c r="F507" s="29" t="s">
        <v>1325</v>
      </c>
      <c r="G507" s="30" t="s">
        <v>1326</v>
      </c>
      <c r="H507" s="29">
        <v>20</v>
      </c>
      <c r="K507" s="31">
        <v>7.3</v>
      </c>
      <c r="L507" s="27">
        <v>0.01</v>
      </c>
      <c r="M507" s="28">
        <f t="shared" si="7"/>
        <v>146</v>
      </c>
      <c r="N507" s="23" t="s">
        <v>519</v>
      </c>
    </row>
    <row r="508" spans="1:14">
      <c r="A508" s="8">
        <v>471</v>
      </c>
      <c r="E508" s="23" t="s">
        <v>129</v>
      </c>
      <c r="F508" s="29" t="s">
        <v>1327</v>
      </c>
      <c r="G508" s="30" t="s">
        <v>1328</v>
      </c>
      <c r="H508" s="29">
        <v>1</v>
      </c>
      <c r="K508" s="31">
        <v>125</v>
      </c>
      <c r="L508" s="27">
        <v>0.01</v>
      </c>
      <c r="M508" s="28">
        <f t="shared" si="7"/>
        <v>125</v>
      </c>
      <c r="N508" s="23" t="s">
        <v>519</v>
      </c>
    </row>
    <row r="509" spans="1:14">
      <c r="A509" s="8">
        <v>471</v>
      </c>
      <c r="E509" s="23" t="s">
        <v>129</v>
      </c>
      <c r="F509" s="29" t="s">
        <v>1093</v>
      </c>
      <c r="G509" s="30" t="s">
        <v>1329</v>
      </c>
      <c r="H509" s="29">
        <v>1</v>
      </c>
      <c r="K509" s="31">
        <v>220</v>
      </c>
      <c r="L509" s="27">
        <v>0.01</v>
      </c>
      <c r="M509" s="28">
        <f t="shared" si="7"/>
        <v>220</v>
      </c>
      <c r="N509" s="23" t="s">
        <v>519</v>
      </c>
    </row>
    <row r="510" spans="1:14">
      <c r="A510" s="8">
        <v>471</v>
      </c>
      <c r="E510" s="23" t="s">
        <v>129</v>
      </c>
      <c r="F510" s="29" t="s">
        <v>1190</v>
      </c>
      <c r="G510" s="30" t="s">
        <v>1330</v>
      </c>
      <c r="H510" s="29">
        <v>10</v>
      </c>
      <c r="K510" s="31">
        <v>3.4</v>
      </c>
      <c r="L510" s="27">
        <v>0.01</v>
      </c>
      <c r="M510" s="28">
        <f t="shared" si="7"/>
        <v>34</v>
      </c>
      <c r="N510" s="23" t="s">
        <v>519</v>
      </c>
    </row>
    <row r="511" spans="1:14">
      <c r="A511" s="8">
        <v>471</v>
      </c>
      <c r="E511" s="23" t="s">
        <v>129</v>
      </c>
      <c r="F511" s="29" t="s">
        <v>1331</v>
      </c>
      <c r="G511" s="30"/>
      <c r="H511" s="29">
        <v>1</v>
      </c>
      <c r="K511" s="31">
        <v>65</v>
      </c>
      <c r="L511" s="27">
        <v>0.01</v>
      </c>
      <c r="M511" s="28">
        <f t="shared" si="7"/>
        <v>65</v>
      </c>
      <c r="N511" s="23" t="s">
        <v>519</v>
      </c>
    </row>
    <row r="512" spans="1:14">
      <c r="A512" s="8">
        <v>471</v>
      </c>
      <c r="E512" s="23" t="s">
        <v>129</v>
      </c>
      <c r="F512" s="29" t="s">
        <v>707</v>
      </c>
      <c r="G512" s="30" t="s">
        <v>1332</v>
      </c>
      <c r="H512" s="29">
        <v>10</v>
      </c>
      <c r="K512" s="31">
        <v>36.5</v>
      </c>
      <c r="L512" s="27">
        <v>0.01</v>
      </c>
      <c r="M512" s="28">
        <f t="shared" si="7"/>
        <v>365</v>
      </c>
      <c r="N512" s="23" t="s">
        <v>519</v>
      </c>
    </row>
    <row r="513" spans="1:14">
      <c r="A513" s="8">
        <v>471</v>
      </c>
      <c r="E513" s="23" t="s">
        <v>129</v>
      </c>
      <c r="F513" s="29" t="s">
        <v>1333</v>
      </c>
      <c r="G513" s="30" t="s">
        <v>1334</v>
      </c>
      <c r="H513" s="29">
        <v>25</v>
      </c>
      <c r="K513" s="31">
        <v>1.8</v>
      </c>
      <c r="L513" s="27">
        <v>0.01</v>
      </c>
      <c r="M513" s="28">
        <f t="shared" si="7"/>
        <v>45</v>
      </c>
      <c r="N513" s="23" t="s">
        <v>519</v>
      </c>
    </row>
    <row r="514" ht="26" spans="1:14">
      <c r="A514" s="8">
        <v>471</v>
      </c>
      <c r="E514" s="23" t="s">
        <v>129</v>
      </c>
      <c r="F514" s="29" t="s">
        <v>740</v>
      </c>
      <c r="G514" s="30" t="s">
        <v>1335</v>
      </c>
      <c r="H514" s="29">
        <v>1</v>
      </c>
      <c r="K514" s="31">
        <v>62</v>
      </c>
      <c r="L514" s="27">
        <v>0.01</v>
      </c>
      <c r="M514" s="28">
        <f t="shared" si="7"/>
        <v>62</v>
      </c>
      <c r="N514" s="23" t="s">
        <v>519</v>
      </c>
    </row>
    <row r="515" spans="1:14">
      <c r="A515" s="8">
        <v>471</v>
      </c>
      <c r="E515" s="23" t="s">
        <v>129</v>
      </c>
      <c r="F515" s="29" t="s">
        <v>1336</v>
      </c>
      <c r="G515" s="30" t="s">
        <v>1337</v>
      </c>
      <c r="H515" s="29">
        <v>1</v>
      </c>
      <c r="K515" s="31">
        <v>44</v>
      </c>
      <c r="L515" s="27">
        <v>0.01</v>
      </c>
      <c r="M515" s="28">
        <f t="shared" si="7"/>
        <v>44</v>
      </c>
      <c r="N515" s="23" t="s">
        <v>519</v>
      </c>
    </row>
    <row r="516" spans="1:14">
      <c r="A516" s="8">
        <v>471</v>
      </c>
      <c r="E516" s="23" t="s">
        <v>129</v>
      </c>
      <c r="F516" s="29" t="s">
        <v>1338</v>
      </c>
      <c r="G516" s="30" t="s">
        <v>1339</v>
      </c>
      <c r="H516" s="29">
        <v>1</v>
      </c>
      <c r="K516" s="31">
        <v>14</v>
      </c>
      <c r="L516" s="27">
        <v>0.01</v>
      </c>
      <c r="M516" s="28">
        <f t="shared" ref="M516:M555" si="8">H516*K516</f>
        <v>14</v>
      </c>
      <c r="N516" s="23" t="s">
        <v>519</v>
      </c>
    </row>
    <row r="517" spans="1:14">
      <c r="A517" s="8">
        <v>471</v>
      </c>
      <c r="E517" s="23" t="s">
        <v>129</v>
      </c>
      <c r="F517" s="29" t="s">
        <v>1340</v>
      </c>
      <c r="G517" s="30" t="s">
        <v>1341</v>
      </c>
      <c r="H517" s="29">
        <v>1</v>
      </c>
      <c r="K517" s="31">
        <v>34</v>
      </c>
      <c r="L517" s="27">
        <v>0.01</v>
      </c>
      <c r="M517" s="28">
        <f t="shared" si="8"/>
        <v>34</v>
      </c>
      <c r="N517" s="23" t="s">
        <v>519</v>
      </c>
    </row>
    <row r="518" spans="1:14">
      <c r="A518" s="8">
        <v>471</v>
      </c>
      <c r="E518" s="23" t="s">
        <v>129</v>
      </c>
      <c r="F518" s="29" t="s">
        <v>1342</v>
      </c>
      <c r="G518" s="30" t="s">
        <v>566</v>
      </c>
      <c r="H518" s="29">
        <v>5</v>
      </c>
      <c r="K518" s="31">
        <v>7</v>
      </c>
      <c r="L518" s="27">
        <v>0.01</v>
      </c>
      <c r="M518" s="28">
        <f t="shared" si="8"/>
        <v>35</v>
      </c>
      <c r="N518" s="23" t="s">
        <v>519</v>
      </c>
    </row>
    <row r="519" spans="1:14">
      <c r="A519" s="8">
        <v>471</v>
      </c>
      <c r="E519" s="23" t="s">
        <v>129</v>
      </c>
      <c r="F519" s="29" t="s">
        <v>1209</v>
      </c>
      <c r="G519" s="30" t="s">
        <v>1343</v>
      </c>
      <c r="H519" s="29">
        <v>6</v>
      </c>
      <c r="K519" s="31">
        <v>28.5</v>
      </c>
      <c r="L519" s="27">
        <v>0.01</v>
      </c>
      <c r="M519" s="28">
        <f t="shared" si="8"/>
        <v>171</v>
      </c>
      <c r="N519" s="23" t="s">
        <v>519</v>
      </c>
    </row>
    <row r="520" ht="26" spans="1:14">
      <c r="A520" s="8">
        <v>471</v>
      </c>
      <c r="E520" s="23" t="s">
        <v>129</v>
      </c>
      <c r="F520" s="29" t="s">
        <v>1344</v>
      </c>
      <c r="G520" s="30" t="s">
        <v>1345</v>
      </c>
      <c r="H520" s="29">
        <v>5</v>
      </c>
      <c r="K520" s="31">
        <v>3</v>
      </c>
      <c r="L520" s="27">
        <v>0.01</v>
      </c>
      <c r="M520" s="28">
        <f t="shared" si="8"/>
        <v>15</v>
      </c>
      <c r="N520" s="23" t="s">
        <v>519</v>
      </c>
    </row>
    <row r="521" spans="1:14">
      <c r="A521" s="8">
        <v>471</v>
      </c>
      <c r="E521" s="23" t="s">
        <v>129</v>
      </c>
      <c r="F521" s="29" t="s">
        <v>1185</v>
      </c>
      <c r="G521" s="30" t="s">
        <v>1346</v>
      </c>
      <c r="H521" s="29">
        <v>25</v>
      </c>
      <c r="K521" s="31">
        <v>2.1</v>
      </c>
      <c r="L521" s="27">
        <v>0.01</v>
      </c>
      <c r="M521" s="28">
        <f t="shared" si="8"/>
        <v>52.5</v>
      </c>
      <c r="N521" s="23" t="s">
        <v>519</v>
      </c>
    </row>
    <row r="522" ht="26" spans="1:14">
      <c r="A522" s="8">
        <v>471</v>
      </c>
      <c r="E522" s="23" t="s">
        <v>129</v>
      </c>
      <c r="F522" s="29" t="s">
        <v>1347</v>
      </c>
      <c r="G522" s="30" t="s">
        <v>1348</v>
      </c>
      <c r="H522" s="29">
        <v>1</v>
      </c>
      <c r="K522" s="31">
        <v>69</v>
      </c>
      <c r="L522" s="27">
        <v>0.01</v>
      </c>
      <c r="M522" s="28">
        <f t="shared" si="8"/>
        <v>69</v>
      </c>
      <c r="N522" s="23" t="s">
        <v>519</v>
      </c>
    </row>
    <row r="523" spans="1:14">
      <c r="A523" s="8">
        <v>471</v>
      </c>
      <c r="E523" s="23" t="s">
        <v>129</v>
      </c>
      <c r="F523" s="29" t="s">
        <v>1349</v>
      </c>
      <c r="G523" s="30" t="s">
        <v>1350</v>
      </c>
      <c r="H523" s="29">
        <v>2</v>
      </c>
      <c r="K523" s="31">
        <v>9</v>
      </c>
      <c r="L523" s="27">
        <v>0.01</v>
      </c>
      <c r="M523" s="28">
        <f t="shared" si="8"/>
        <v>18</v>
      </c>
      <c r="N523" s="23" t="s">
        <v>519</v>
      </c>
    </row>
    <row r="524" spans="1:14">
      <c r="A524" s="8">
        <v>471</v>
      </c>
      <c r="E524" s="23" t="s">
        <v>129</v>
      </c>
      <c r="F524" s="29" t="s">
        <v>1351</v>
      </c>
      <c r="G524" s="30" t="s">
        <v>1352</v>
      </c>
      <c r="H524" s="29">
        <v>8</v>
      </c>
      <c r="K524" s="31">
        <v>3.5</v>
      </c>
      <c r="L524" s="27">
        <v>0.01</v>
      </c>
      <c r="M524" s="28">
        <f t="shared" si="8"/>
        <v>28</v>
      </c>
      <c r="N524" s="23" t="s">
        <v>519</v>
      </c>
    </row>
    <row r="525" ht="13.5" customHeight="1" spans="1:14">
      <c r="A525" s="8">
        <v>471</v>
      </c>
      <c r="E525" s="23" t="s">
        <v>129</v>
      </c>
      <c r="F525" s="29" t="s">
        <v>1353</v>
      </c>
      <c r="G525" s="30" t="s">
        <v>1354</v>
      </c>
      <c r="H525" s="29">
        <v>4</v>
      </c>
      <c r="K525" s="31">
        <v>2.5</v>
      </c>
      <c r="L525" s="27">
        <v>0.01</v>
      </c>
      <c r="M525" s="28">
        <f t="shared" si="8"/>
        <v>10</v>
      </c>
      <c r="N525" s="23" t="s">
        <v>519</v>
      </c>
    </row>
    <row r="526" spans="1:14">
      <c r="A526" s="8">
        <v>471</v>
      </c>
      <c r="E526" s="23" t="s">
        <v>129</v>
      </c>
      <c r="F526" s="29" t="s">
        <v>1355</v>
      </c>
      <c r="G526" s="30"/>
      <c r="H526" s="29">
        <v>2</v>
      </c>
      <c r="K526" s="31">
        <v>55</v>
      </c>
      <c r="L526" s="27">
        <v>0.01</v>
      </c>
      <c r="M526" s="28">
        <f t="shared" si="8"/>
        <v>110</v>
      </c>
      <c r="N526" s="23" t="s">
        <v>519</v>
      </c>
    </row>
    <row r="527" spans="1:14">
      <c r="A527" s="8">
        <v>471</v>
      </c>
      <c r="E527" s="23" t="s">
        <v>129</v>
      </c>
      <c r="F527" s="29" t="s">
        <v>1356</v>
      </c>
      <c r="G527" s="30" t="s">
        <v>1357</v>
      </c>
      <c r="H527" s="29">
        <v>3</v>
      </c>
      <c r="K527" s="31">
        <v>45</v>
      </c>
      <c r="L527" s="27">
        <v>0.01</v>
      </c>
      <c r="M527" s="28">
        <f t="shared" si="8"/>
        <v>135</v>
      </c>
      <c r="N527" s="23" t="s">
        <v>519</v>
      </c>
    </row>
    <row r="528" spans="1:14">
      <c r="A528" s="8">
        <v>471</v>
      </c>
      <c r="E528" s="23" t="s">
        <v>129</v>
      </c>
      <c r="F528" s="29" t="s">
        <v>1358</v>
      </c>
      <c r="G528" s="30" t="s">
        <v>1359</v>
      </c>
      <c r="H528" s="29">
        <v>1</v>
      </c>
      <c r="K528" s="31">
        <v>480</v>
      </c>
      <c r="L528" s="27">
        <v>0.01</v>
      </c>
      <c r="M528" s="28">
        <f t="shared" si="8"/>
        <v>480</v>
      </c>
      <c r="N528" s="23" t="s">
        <v>519</v>
      </c>
    </row>
    <row r="529" spans="1:14">
      <c r="A529" s="8">
        <v>471</v>
      </c>
      <c r="E529" s="23" t="s">
        <v>129</v>
      </c>
      <c r="F529" s="29" t="s">
        <v>1358</v>
      </c>
      <c r="G529" s="30" t="s">
        <v>1360</v>
      </c>
      <c r="H529" s="29">
        <v>1</v>
      </c>
      <c r="K529" s="31">
        <v>420</v>
      </c>
      <c r="L529" s="27">
        <v>0.01</v>
      </c>
      <c r="M529" s="28">
        <f t="shared" si="8"/>
        <v>420</v>
      </c>
      <c r="N529" s="23" t="s">
        <v>519</v>
      </c>
    </row>
    <row r="530" ht="26" spans="1:14">
      <c r="A530" s="8">
        <v>471</v>
      </c>
      <c r="E530" s="23" t="s">
        <v>129</v>
      </c>
      <c r="F530" s="29" t="s">
        <v>1361</v>
      </c>
      <c r="G530" s="30" t="s">
        <v>1362</v>
      </c>
      <c r="H530" s="29">
        <v>20</v>
      </c>
      <c r="K530" s="31">
        <v>1.5</v>
      </c>
      <c r="L530" s="27">
        <v>0.01</v>
      </c>
      <c r="M530" s="28">
        <f t="shared" si="8"/>
        <v>30</v>
      </c>
      <c r="N530" s="23" t="s">
        <v>519</v>
      </c>
    </row>
    <row r="531" spans="1:14">
      <c r="A531" s="8">
        <v>471</v>
      </c>
      <c r="E531" s="23" t="s">
        <v>129</v>
      </c>
      <c r="F531" s="29" t="s">
        <v>539</v>
      </c>
      <c r="G531" s="30" t="s">
        <v>1363</v>
      </c>
      <c r="H531" s="29">
        <v>1</v>
      </c>
      <c r="K531" s="31">
        <v>512</v>
      </c>
      <c r="L531" s="27">
        <v>0.01</v>
      </c>
      <c r="M531" s="28">
        <f t="shared" si="8"/>
        <v>512</v>
      </c>
      <c r="N531" s="23" t="s">
        <v>519</v>
      </c>
    </row>
    <row r="532" spans="1:14">
      <c r="A532" s="8">
        <v>471</v>
      </c>
      <c r="E532" s="23" t="s">
        <v>129</v>
      </c>
      <c r="F532" s="29" t="s">
        <v>1364</v>
      </c>
      <c r="G532" s="30" t="s">
        <v>1109</v>
      </c>
      <c r="H532" s="29">
        <v>40</v>
      </c>
      <c r="K532" s="31">
        <v>14</v>
      </c>
      <c r="L532" s="27">
        <v>0.01</v>
      </c>
      <c r="M532" s="28">
        <f t="shared" si="8"/>
        <v>560</v>
      </c>
      <c r="N532" s="23" t="s">
        <v>519</v>
      </c>
    </row>
    <row r="533" ht="13.5" customHeight="1" spans="1:14">
      <c r="A533" s="8">
        <v>471</v>
      </c>
      <c r="E533" s="23" t="s">
        <v>129</v>
      </c>
      <c r="F533" s="29" t="s">
        <v>1177</v>
      </c>
      <c r="G533" s="30" t="s">
        <v>1365</v>
      </c>
      <c r="H533" s="29">
        <v>5</v>
      </c>
      <c r="K533" s="31">
        <v>14.5</v>
      </c>
      <c r="L533" s="27">
        <v>0.01</v>
      </c>
      <c r="M533" s="28">
        <f t="shared" si="8"/>
        <v>72.5</v>
      </c>
      <c r="N533" s="23" t="s">
        <v>519</v>
      </c>
    </row>
    <row r="534" spans="1:14">
      <c r="A534" s="8">
        <v>471</v>
      </c>
      <c r="E534" s="23" t="s">
        <v>129</v>
      </c>
      <c r="F534" s="29" t="s">
        <v>1141</v>
      </c>
      <c r="G534" s="30" t="s">
        <v>1366</v>
      </c>
      <c r="H534" s="29">
        <v>2</v>
      </c>
      <c r="K534" s="31">
        <v>125</v>
      </c>
      <c r="L534" s="27">
        <v>0.01</v>
      </c>
      <c r="M534" s="28">
        <f t="shared" si="8"/>
        <v>250</v>
      </c>
      <c r="N534" s="23" t="s">
        <v>519</v>
      </c>
    </row>
    <row r="535" spans="1:14">
      <c r="A535" s="8">
        <v>471</v>
      </c>
      <c r="E535" s="23" t="s">
        <v>129</v>
      </c>
      <c r="F535" s="29" t="s">
        <v>664</v>
      </c>
      <c r="G535" s="30" t="s">
        <v>1367</v>
      </c>
      <c r="H535" s="29">
        <v>6</v>
      </c>
      <c r="K535" s="31">
        <v>65</v>
      </c>
      <c r="L535" s="27">
        <v>0.01</v>
      </c>
      <c r="M535" s="28">
        <f t="shared" si="8"/>
        <v>390</v>
      </c>
      <c r="N535" s="23" t="s">
        <v>519</v>
      </c>
    </row>
    <row r="536" spans="1:14">
      <c r="A536" s="8">
        <v>471</v>
      </c>
      <c r="E536" s="23" t="s">
        <v>129</v>
      </c>
      <c r="F536" s="29" t="s">
        <v>1368</v>
      </c>
      <c r="G536" s="30" t="s">
        <v>1369</v>
      </c>
      <c r="H536" s="29">
        <v>2</v>
      </c>
      <c r="K536" s="31">
        <v>30</v>
      </c>
      <c r="L536" s="27">
        <v>0.01</v>
      </c>
      <c r="M536" s="28">
        <f t="shared" si="8"/>
        <v>60</v>
      </c>
      <c r="N536" s="23" t="s">
        <v>519</v>
      </c>
    </row>
    <row r="537" ht="13.5" customHeight="1" spans="1:14">
      <c r="A537" s="8">
        <v>471</v>
      </c>
      <c r="E537" s="23" t="s">
        <v>129</v>
      </c>
      <c r="F537" s="29" t="s">
        <v>1370</v>
      </c>
      <c r="G537" s="30" t="s">
        <v>1371</v>
      </c>
      <c r="H537" s="29">
        <v>1</v>
      </c>
      <c r="K537" s="31">
        <v>662</v>
      </c>
      <c r="L537" s="27">
        <v>0.01</v>
      </c>
      <c r="M537" s="28">
        <f t="shared" si="8"/>
        <v>662</v>
      </c>
      <c r="N537" s="23" t="s">
        <v>519</v>
      </c>
    </row>
    <row r="538" spans="1:14">
      <c r="A538" s="8">
        <v>471</v>
      </c>
      <c r="E538" s="23" t="s">
        <v>129</v>
      </c>
      <c r="F538" s="29" t="s">
        <v>1372</v>
      </c>
      <c r="G538" s="30" t="s">
        <v>1373</v>
      </c>
      <c r="H538" s="29">
        <v>5</v>
      </c>
      <c r="K538" s="31">
        <v>6.5</v>
      </c>
      <c r="L538" s="27">
        <v>0.01</v>
      </c>
      <c r="M538" s="28">
        <f t="shared" si="8"/>
        <v>32.5</v>
      </c>
      <c r="N538" s="23" t="s">
        <v>519</v>
      </c>
    </row>
    <row r="539" spans="1:14">
      <c r="A539" s="8">
        <v>471</v>
      </c>
      <c r="E539" s="23" t="s">
        <v>129</v>
      </c>
      <c r="F539" s="29" t="s">
        <v>1374</v>
      </c>
      <c r="G539" s="30" t="s">
        <v>1375</v>
      </c>
      <c r="H539" s="29">
        <v>2</v>
      </c>
      <c r="K539" s="31">
        <v>9</v>
      </c>
      <c r="L539" s="27">
        <v>0.01</v>
      </c>
      <c r="M539" s="28">
        <f t="shared" si="8"/>
        <v>18</v>
      </c>
      <c r="N539" s="23" t="s">
        <v>519</v>
      </c>
    </row>
    <row r="540" spans="1:14">
      <c r="A540" s="8">
        <v>471</v>
      </c>
      <c r="E540" s="23" t="s">
        <v>129</v>
      </c>
      <c r="F540" s="29" t="s">
        <v>1374</v>
      </c>
      <c r="G540" s="30" t="s">
        <v>1376</v>
      </c>
      <c r="H540" s="29">
        <v>2</v>
      </c>
      <c r="K540" s="31">
        <v>6</v>
      </c>
      <c r="L540" s="27">
        <v>0.01</v>
      </c>
      <c r="M540" s="28">
        <f t="shared" si="8"/>
        <v>12</v>
      </c>
      <c r="N540" s="23" t="s">
        <v>519</v>
      </c>
    </row>
    <row r="541" spans="1:14">
      <c r="A541" s="8">
        <v>471</v>
      </c>
      <c r="E541" s="23" t="s">
        <v>129</v>
      </c>
      <c r="F541" s="29" t="s">
        <v>1377</v>
      </c>
      <c r="G541" s="30" t="s">
        <v>1378</v>
      </c>
      <c r="H541" s="29">
        <v>1</v>
      </c>
      <c r="K541" s="31">
        <v>560</v>
      </c>
      <c r="L541" s="27">
        <v>0.01</v>
      </c>
      <c r="M541" s="28">
        <f t="shared" si="8"/>
        <v>560</v>
      </c>
      <c r="N541" s="23" t="s">
        <v>519</v>
      </c>
    </row>
    <row r="542" spans="1:14">
      <c r="A542" s="8">
        <v>471</v>
      </c>
      <c r="E542" s="23" t="s">
        <v>129</v>
      </c>
      <c r="F542" s="29" t="s">
        <v>1379</v>
      </c>
      <c r="G542" s="30" t="s">
        <v>1380</v>
      </c>
      <c r="H542" s="29">
        <v>1</v>
      </c>
      <c r="K542" s="31">
        <v>94</v>
      </c>
      <c r="L542" s="27">
        <v>0.01</v>
      </c>
      <c r="M542" s="28">
        <f t="shared" si="8"/>
        <v>94</v>
      </c>
      <c r="N542" s="23" t="s">
        <v>519</v>
      </c>
    </row>
    <row r="543" spans="1:14">
      <c r="A543" s="8">
        <v>471</v>
      </c>
      <c r="E543" s="23" t="s">
        <v>129</v>
      </c>
      <c r="F543" s="29" t="s">
        <v>1381</v>
      </c>
      <c r="G543" s="30" t="s">
        <v>1382</v>
      </c>
      <c r="H543" s="29">
        <v>1</v>
      </c>
      <c r="K543" s="31">
        <v>185</v>
      </c>
      <c r="L543" s="27">
        <v>0.01</v>
      </c>
      <c r="M543" s="28">
        <f t="shared" si="8"/>
        <v>185</v>
      </c>
      <c r="N543" s="23" t="s">
        <v>519</v>
      </c>
    </row>
    <row r="544" spans="1:14">
      <c r="A544" s="8">
        <v>471</v>
      </c>
      <c r="E544" s="23" t="s">
        <v>129</v>
      </c>
      <c r="F544" s="29" t="s">
        <v>1383</v>
      </c>
      <c r="G544" s="30" t="s">
        <v>1384</v>
      </c>
      <c r="H544" s="29">
        <v>1</v>
      </c>
      <c r="K544" s="31">
        <v>6</v>
      </c>
      <c r="L544" s="27">
        <v>0.01</v>
      </c>
      <c r="M544" s="28">
        <f t="shared" si="8"/>
        <v>6</v>
      </c>
      <c r="N544" s="23" t="s">
        <v>519</v>
      </c>
    </row>
    <row r="545" spans="1:14">
      <c r="A545" s="8">
        <v>471</v>
      </c>
      <c r="E545" s="23" t="s">
        <v>129</v>
      </c>
      <c r="F545" s="29" t="s">
        <v>1385</v>
      </c>
      <c r="G545" s="30" t="s">
        <v>1386</v>
      </c>
      <c r="H545" s="29">
        <v>3</v>
      </c>
      <c r="K545" s="31">
        <v>16</v>
      </c>
      <c r="L545" s="27">
        <v>0.01</v>
      </c>
      <c r="M545" s="28">
        <f t="shared" si="8"/>
        <v>48</v>
      </c>
      <c r="N545" s="23" t="s">
        <v>519</v>
      </c>
    </row>
    <row r="546" ht="26" spans="1:14">
      <c r="A546" s="8">
        <v>471</v>
      </c>
      <c r="E546" s="23" t="s">
        <v>129</v>
      </c>
      <c r="F546" s="29" t="s">
        <v>1387</v>
      </c>
      <c r="G546" s="30" t="s">
        <v>1388</v>
      </c>
      <c r="H546" s="29">
        <v>1</v>
      </c>
      <c r="K546" s="31">
        <v>130</v>
      </c>
      <c r="L546" s="27">
        <v>0.01</v>
      </c>
      <c r="M546" s="28">
        <f t="shared" si="8"/>
        <v>130</v>
      </c>
      <c r="N546" s="23" t="s">
        <v>519</v>
      </c>
    </row>
    <row r="547" spans="1:14">
      <c r="A547" s="8">
        <v>471</v>
      </c>
      <c r="E547" s="23" t="s">
        <v>129</v>
      </c>
      <c r="F547" s="29" t="s">
        <v>1389</v>
      </c>
      <c r="G547" s="30" t="s">
        <v>1390</v>
      </c>
      <c r="H547" s="29">
        <v>8</v>
      </c>
      <c r="K547" s="31">
        <v>11.5</v>
      </c>
      <c r="L547" s="27">
        <v>0.01</v>
      </c>
      <c r="M547" s="28">
        <f t="shared" si="8"/>
        <v>92</v>
      </c>
      <c r="N547" s="23" t="s">
        <v>519</v>
      </c>
    </row>
    <row r="548" spans="1:14">
      <c r="A548" s="8">
        <v>471</v>
      </c>
      <c r="E548" s="23" t="s">
        <v>129</v>
      </c>
      <c r="F548" s="29" t="s">
        <v>1391</v>
      </c>
      <c r="G548" s="30" t="s">
        <v>1392</v>
      </c>
      <c r="H548" s="29">
        <v>1</v>
      </c>
      <c r="K548" s="31">
        <v>33.5</v>
      </c>
      <c r="L548" s="27">
        <v>0.01</v>
      </c>
      <c r="M548" s="28">
        <f t="shared" si="8"/>
        <v>33.5</v>
      </c>
      <c r="N548" s="23" t="s">
        <v>519</v>
      </c>
    </row>
    <row r="549" ht="26" spans="1:14">
      <c r="A549" s="8">
        <v>471</v>
      </c>
      <c r="E549" s="23" t="s">
        <v>129</v>
      </c>
      <c r="F549" s="29" t="s">
        <v>1393</v>
      </c>
      <c r="G549" s="30" t="s">
        <v>1394</v>
      </c>
      <c r="H549" s="29">
        <v>4</v>
      </c>
      <c r="K549" s="31">
        <v>17</v>
      </c>
      <c r="L549" s="27">
        <v>0.01</v>
      </c>
      <c r="M549" s="28">
        <f t="shared" si="8"/>
        <v>68</v>
      </c>
      <c r="N549" s="23" t="s">
        <v>519</v>
      </c>
    </row>
    <row r="550" spans="1:14">
      <c r="A550" s="8">
        <v>471</v>
      </c>
      <c r="E550" s="23" t="s">
        <v>129</v>
      </c>
      <c r="F550" s="29" t="s">
        <v>1395</v>
      </c>
      <c r="G550" s="30" t="s">
        <v>1396</v>
      </c>
      <c r="H550" s="29">
        <v>1</v>
      </c>
      <c r="K550" s="31">
        <v>5</v>
      </c>
      <c r="L550" s="27">
        <v>0.01</v>
      </c>
      <c r="M550" s="28">
        <f t="shared" si="8"/>
        <v>5</v>
      </c>
      <c r="N550" s="23" t="s">
        <v>519</v>
      </c>
    </row>
    <row r="551" spans="1:14">
      <c r="A551" s="8">
        <v>471</v>
      </c>
      <c r="E551" s="23" t="s">
        <v>129</v>
      </c>
      <c r="F551" s="29" t="s">
        <v>1395</v>
      </c>
      <c r="G551" s="30" t="s">
        <v>1397</v>
      </c>
      <c r="H551" s="29">
        <v>1</v>
      </c>
      <c r="K551" s="31">
        <v>5</v>
      </c>
      <c r="L551" s="27">
        <v>0.01</v>
      </c>
      <c r="M551" s="28">
        <f t="shared" si="8"/>
        <v>5</v>
      </c>
      <c r="N551" s="23" t="s">
        <v>519</v>
      </c>
    </row>
    <row r="552" ht="26" spans="1:14">
      <c r="A552" s="8">
        <v>471</v>
      </c>
      <c r="E552" s="23" t="s">
        <v>129</v>
      </c>
      <c r="F552" s="29" t="s">
        <v>1398</v>
      </c>
      <c r="G552" s="30" t="s">
        <v>1399</v>
      </c>
      <c r="H552" s="29">
        <v>3</v>
      </c>
      <c r="K552" s="31">
        <v>48</v>
      </c>
      <c r="L552" s="27">
        <v>0.01</v>
      </c>
      <c r="M552" s="28">
        <f t="shared" si="8"/>
        <v>144</v>
      </c>
      <c r="N552" s="23" t="s">
        <v>519</v>
      </c>
    </row>
    <row r="553" spans="1:14">
      <c r="A553" s="8">
        <v>471</v>
      </c>
      <c r="E553" s="23" t="s">
        <v>129</v>
      </c>
      <c r="F553" s="29" t="s">
        <v>1105</v>
      </c>
      <c r="G553" s="30" t="s">
        <v>1400</v>
      </c>
      <c r="H553" s="29">
        <v>2</v>
      </c>
      <c r="K553" s="31">
        <v>18</v>
      </c>
      <c r="L553" s="27">
        <v>0.01</v>
      </c>
      <c r="M553" s="28">
        <f t="shared" si="8"/>
        <v>36</v>
      </c>
      <c r="N553" s="23" t="s">
        <v>519</v>
      </c>
    </row>
    <row r="554" spans="1:14">
      <c r="A554" s="8">
        <v>471</v>
      </c>
      <c r="E554" s="23" t="s">
        <v>129</v>
      </c>
      <c r="F554" s="29" t="s">
        <v>1401</v>
      </c>
      <c r="G554" s="30" t="s">
        <v>1402</v>
      </c>
      <c r="H554" s="29">
        <v>1</v>
      </c>
      <c r="K554" s="31">
        <v>280</v>
      </c>
      <c r="L554" s="27">
        <v>0.01</v>
      </c>
      <c r="M554" s="28">
        <f t="shared" si="8"/>
        <v>280</v>
      </c>
      <c r="N554" s="23" t="s">
        <v>519</v>
      </c>
    </row>
    <row r="555" spans="1:14">
      <c r="A555" s="8">
        <v>471</v>
      </c>
      <c r="E555" s="23" t="s">
        <v>129</v>
      </c>
      <c r="F555" s="29" t="s">
        <v>521</v>
      </c>
      <c r="G555" s="30" t="s">
        <v>881</v>
      </c>
      <c r="H555" s="29">
        <v>1</v>
      </c>
      <c r="K555" s="31">
        <v>4050</v>
      </c>
      <c r="L555" s="27">
        <v>0.01</v>
      </c>
      <c r="M555" s="28">
        <f t="shared" si="8"/>
        <v>4050</v>
      </c>
      <c r="N555" s="23" t="s">
        <v>519</v>
      </c>
    </row>
  </sheetData>
  <mergeCells count="1">
    <mergeCell ref="F49:F5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6:H82"/>
  <sheetViews>
    <sheetView topLeftCell="C64" workbookViewId="0">
      <selection activeCell="G93" sqref="G93"/>
    </sheetView>
  </sheetViews>
  <sheetFormatPr defaultColWidth="8.72727272727273" defaultRowHeight="14" outlineLevelCol="7"/>
  <cols>
    <col min="7" max="8" width="45.4636363636364"/>
  </cols>
  <sheetData>
    <row r="16" spans="7:8">
      <c r="G16" t="s">
        <v>2230</v>
      </c>
      <c r="H16" t="s">
        <v>15</v>
      </c>
    </row>
    <row r="17" spans="7:8">
      <c r="G17" t="s">
        <v>2232</v>
      </c>
    </row>
    <row r="18" spans="7:8">
      <c r="H18" t="s">
        <v>29</v>
      </c>
    </row>
    <row r="19" spans="7:8">
      <c r="H19" t="s">
        <v>76</v>
      </c>
    </row>
    <row r="20" spans="7:8">
      <c r="H20" t="s">
        <v>206</v>
      </c>
    </row>
    <row r="21" spans="7:8">
      <c r="H21" t="s">
        <v>122</v>
      </c>
    </row>
    <row r="22" spans="7:8">
      <c r="H22" t="s">
        <v>35</v>
      </c>
    </row>
    <row r="23" spans="7:8">
      <c r="H23" t="s">
        <v>154</v>
      </c>
    </row>
    <row r="24" spans="7:8">
      <c r="H24" t="s">
        <v>189</v>
      </c>
    </row>
    <row r="25" spans="7:8">
      <c r="H25" t="s">
        <v>66</v>
      </c>
    </row>
    <row r="26" spans="7:8">
      <c r="H26" t="s">
        <v>160</v>
      </c>
    </row>
    <row r="27" spans="7:8">
      <c r="G27" t="s">
        <v>2233</v>
      </c>
    </row>
    <row r="28" spans="7:8">
      <c r="H28" t="s">
        <v>149</v>
      </c>
    </row>
    <row r="29" spans="7:8">
      <c r="G29" t="s">
        <v>1500</v>
      </c>
    </row>
    <row r="30" spans="7:8">
      <c r="H30" t="s">
        <v>101</v>
      </c>
    </row>
    <row r="31" spans="7:8">
      <c r="H31" t="s">
        <v>107</v>
      </c>
    </row>
    <row r="32" spans="7:8">
      <c r="H32" t="s">
        <v>226</v>
      </c>
    </row>
    <row r="33" spans="8:8">
      <c r="H33" t="s">
        <v>194</v>
      </c>
    </row>
    <row r="34" spans="8:8">
      <c r="H34" t="s">
        <v>105</v>
      </c>
    </row>
    <row r="35" spans="8:8">
      <c r="H35" t="s">
        <v>185</v>
      </c>
    </row>
    <row r="36" spans="8:8">
      <c r="H36" t="s">
        <v>309</v>
      </c>
    </row>
    <row r="37" spans="8:8">
      <c r="H37" t="s">
        <v>145</v>
      </c>
    </row>
    <row r="38" spans="8:8">
      <c r="H38" t="s">
        <v>167</v>
      </c>
    </row>
    <row r="39" spans="8:8">
      <c r="H39" t="s">
        <v>141</v>
      </c>
    </row>
    <row r="40" spans="8:8">
      <c r="H40" t="s">
        <v>127</v>
      </c>
    </row>
    <row r="41" spans="8:8">
      <c r="H41" t="s">
        <v>110</v>
      </c>
    </row>
    <row r="42" spans="8:8">
      <c r="H42" t="s">
        <v>175</v>
      </c>
    </row>
    <row r="43" spans="8:8">
      <c r="H43" t="s">
        <v>214</v>
      </c>
    </row>
    <row r="44" spans="8:8">
      <c r="H44" t="s">
        <v>118</v>
      </c>
    </row>
    <row r="45" spans="8:8">
      <c r="H45" t="s">
        <v>40</v>
      </c>
    </row>
    <row r="46" spans="8:8">
      <c r="H46" t="s">
        <v>95</v>
      </c>
    </row>
    <row r="47" spans="8:8">
      <c r="H47" t="s">
        <v>53</v>
      </c>
    </row>
    <row r="48" spans="8:8">
      <c r="H48" t="s">
        <v>220</v>
      </c>
    </row>
    <row r="49" spans="7:8">
      <c r="H49" t="s">
        <v>132</v>
      </c>
    </row>
    <row r="50" spans="7:8">
      <c r="H50" t="s">
        <v>163</v>
      </c>
    </row>
    <row r="51" spans="7:8">
      <c r="G51" t="s">
        <v>2234</v>
      </c>
    </row>
    <row r="52" spans="7:8">
      <c r="H52" t="s">
        <v>73</v>
      </c>
    </row>
    <row r="53" spans="7:8">
      <c r="H53" t="s">
        <v>59</v>
      </c>
    </row>
    <row r="54" spans="7:8">
      <c r="G54" t="s">
        <v>2235</v>
      </c>
    </row>
    <row r="55" spans="7:8">
      <c r="H55" t="s">
        <v>115</v>
      </c>
    </row>
    <row r="56" spans="7:8">
      <c r="G56" t="e">
        <v>#N/A</v>
      </c>
    </row>
    <row r="57" spans="7:8">
      <c r="H57" t="s">
        <v>357</v>
      </c>
    </row>
    <row r="58" spans="7:8">
      <c r="H58" t="s">
        <v>248</v>
      </c>
    </row>
    <row r="59" spans="7:8">
      <c r="H59" t="s">
        <v>290</v>
      </c>
    </row>
    <row r="60" spans="7:8">
      <c r="H60" t="s">
        <v>388</v>
      </c>
    </row>
    <row r="61" spans="7:8">
      <c r="H61" t="s">
        <v>305</v>
      </c>
    </row>
    <row r="62" spans="7:8">
      <c r="H62" t="s">
        <v>277</v>
      </c>
    </row>
    <row r="63" spans="7:8">
      <c r="H63" t="s">
        <v>349</v>
      </c>
    </row>
    <row r="64" spans="7:8">
      <c r="H64" t="s">
        <v>339</v>
      </c>
    </row>
    <row r="65" spans="8:8">
      <c r="H65" t="s">
        <v>451</v>
      </c>
    </row>
    <row r="66" spans="8:8">
      <c r="H66" t="s">
        <v>242</v>
      </c>
    </row>
    <row r="67" spans="8:8">
      <c r="H67" t="s">
        <v>238</v>
      </c>
    </row>
    <row r="68" spans="8:8">
      <c r="H68" t="s">
        <v>412</v>
      </c>
    </row>
    <row r="69" spans="8:8">
      <c r="H69" t="s">
        <v>312</v>
      </c>
    </row>
    <row r="70" spans="8:8">
      <c r="H70" t="s">
        <v>300</v>
      </c>
    </row>
    <row r="71" spans="8:8">
      <c r="H71" t="s">
        <v>335</v>
      </c>
    </row>
    <row r="72" spans="8:8">
      <c r="H72" t="s">
        <v>271</v>
      </c>
    </row>
    <row r="73" spans="8:8">
      <c r="H73" t="s">
        <v>237</v>
      </c>
    </row>
    <row r="74" spans="8:8">
      <c r="H74" t="s">
        <v>400</v>
      </c>
    </row>
    <row r="75" spans="8:8">
      <c r="H75" t="s">
        <v>325</v>
      </c>
    </row>
    <row r="76" spans="8:8">
      <c r="H76" t="s">
        <v>320</v>
      </c>
    </row>
    <row r="77" spans="8:8">
      <c r="H77" t="s">
        <v>364</v>
      </c>
    </row>
    <row r="78" spans="8:8">
      <c r="H78" t="s">
        <v>477</v>
      </c>
    </row>
    <row r="79" spans="8:8">
      <c r="H79" t="s">
        <v>286</v>
      </c>
    </row>
    <row r="80" spans="8:8">
      <c r="H80" t="s">
        <v>268</v>
      </c>
    </row>
    <row r="81" spans="7:8">
      <c r="H81" t="s">
        <v>2236</v>
      </c>
    </row>
    <row r="82" spans="7:8">
      <c r="G82" t="s">
        <v>2237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佳时坤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1</cp:lastModifiedBy>
  <dcterms:created xsi:type="dcterms:W3CDTF">2026-02-26T02:12:00Z</dcterms:created>
  <dcterms:modified xsi:type="dcterms:W3CDTF">2026-05-14T05:53:34Z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B1F3F42375F94686B4708F3F272C5FEA_11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